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_Overview" sheetId="1" r:id="rId4"/>
    <sheet state="visible" name="LS_Main_Dataset" sheetId="2" r:id="rId5"/>
    <sheet state="visible" name="ESG_Scorecard" sheetId="3" r:id="rId6"/>
    <sheet state="visible" name="Calculations" sheetId="4" r:id="rId7"/>
  </sheets>
  <definedNames>
    <definedName hidden="1" localSheetId="1" name="_xlnm._FilterDatabase">LS_Main_Dataset!$A$1:$AI$16</definedName>
  </definedNames>
  <calcPr/>
  <extLst>
    <ext uri="GoogleSheetsCustomDataVersion2">
      <go:sheetsCustomData xmlns:go="http://customooxmlschemas.google.com/" r:id="rId8" roundtripDataChecksum="C/pJbqCF5y2LERAVycCBrd1VVWfGKJt08A1gI1o1Kvw="/>
    </ext>
  </extLst>
</workbook>
</file>

<file path=xl/sharedStrings.xml><?xml version="1.0" encoding="utf-8"?>
<sst xmlns="http://schemas.openxmlformats.org/spreadsheetml/2006/main" count="449" uniqueCount="284">
  <si>
    <t>ESG Rating Framework</t>
  </si>
  <si>
    <t>A simplified, transparent ESG scoring methodology for Indian textile &amp; apparel manufacturers</t>
  </si>
  <si>
    <t>1. Purpose</t>
  </si>
  <si>
    <t>This framework produces a transparent, defensible ESG score (0-100) for a peer set of 15 Indian textile and apparel manufacturers, using only company-disclosed data (BRSR filings, sustainability reports, and integrated annual reports). It is built for clarity: every score can be traced back to a single disclosed data point and a single, simple formula.</t>
  </si>
  <si>
    <t>2. Scoring Process</t>
  </si>
  <si>
    <t>Raw Data (LS_Main_Dataset)  -&gt;  Metric Score (0-100, one score per metric)  -&gt;  Dimension Score (simple average of that dimension's metric scores)  -&gt;  Overall ESG Score (weighted average of the four dimension scores)  -&gt;  ESG Rating band. There is no criterion-level weighting and no multi-stage sub-scoring - every dimension score is a plain average of its metrics.</t>
  </si>
  <si>
    <t>3. Dimension Weights</t>
  </si>
  <si>
    <t>Dimension</t>
  </si>
  <si>
    <t>Weight</t>
  </si>
  <si>
    <t>Metrics</t>
  </si>
  <si>
    <t>Environmental (E)</t>
  </si>
  <si>
    <t>40%</t>
  </si>
  <si>
    <t>7 metrics, simple average</t>
  </si>
  <si>
    <t>Social (S)</t>
  </si>
  <si>
    <t>25%</t>
  </si>
  <si>
    <t>2 metrics, simple average</t>
  </si>
  <si>
    <t>Governance (G)</t>
  </si>
  <si>
    <t>20%</t>
  </si>
  <si>
    <t>1 metrics, simple average</t>
  </si>
  <si>
    <t>Transparency (T)</t>
  </si>
  <si>
    <t>15%</t>
  </si>
  <si>
    <t>Overall ESG Score = (Environmental x 40%) + (Social x 25%) + (Governance x 20%) + (Transparency x 15%)</t>
  </si>
  <si>
    <t>4. Metrics Used</t>
  </si>
  <si>
    <t>Metric</t>
  </si>
  <si>
    <t>Direction</t>
  </si>
  <si>
    <t>Scoring Method</t>
  </si>
  <si>
    <t>Environmental</t>
  </si>
  <si>
    <t>Emissions Intensity (tCO2e/employee)</t>
  </si>
  <si>
    <t>Lower better</t>
  </si>
  <si>
    <t>Peer min-max</t>
  </si>
  <si>
    <t>Renewable Energy %</t>
  </si>
  <si>
    <t>Higher better</t>
  </si>
  <si>
    <t>Direct value</t>
  </si>
  <si>
    <t>Water Intensity (KL/employee)</t>
  </si>
  <si>
    <t>Waste Intensity (MT/employee)</t>
  </si>
  <si>
    <t>Sustainable Materials %</t>
  </si>
  <si>
    <t>SBTi Status</t>
  </si>
  <si>
    <t>Fixed tier lookup</t>
  </si>
  <si>
    <t>RE100 Membership</t>
  </si>
  <si>
    <t>Binary (Yes/No)</t>
  </si>
  <si>
    <t>Social</t>
  </si>
  <si>
    <t>Gender Diversity (Female %)</t>
  </si>
  <si>
    <t>Farmer/Smallholder Engagement</t>
  </si>
  <si>
    <t>Binary (disclosed/not)</t>
  </si>
  <si>
    <t>Governance</t>
  </si>
  <si>
    <t>Ownership Type (Public/Private)</t>
  </si>
  <si>
    <t>Transparency</t>
  </si>
  <si>
    <t>Reporting Framework Count</t>
  </si>
  <si>
    <t>Auto-counted + tier</t>
  </si>
  <si>
    <t>CDP Disclosure Score</t>
  </si>
  <si>
    <t>5. Rating Scale</t>
  </si>
  <si>
    <t>Overall ESG Score</t>
  </si>
  <si>
    <t>Rating</t>
  </si>
  <si>
    <t>&gt;= 90</t>
  </si>
  <si>
    <t>AAA</t>
  </si>
  <si>
    <t>80 - 89.9</t>
  </si>
  <si>
    <t>AA</t>
  </si>
  <si>
    <t>70 - 79.9</t>
  </si>
  <si>
    <t>A</t>
  </si>
  <si>
    <t>60 - 69.9</t>
  </si>
  <si>
    <t>BBB</t>
  </si>
  <si>
    <t>50 - 59.9</t>
  </si>
  <si>
    <t>BB</t>
  </si>
  <si>
    <t>40 - 49.9</t>
  </si>
  <si>
    <t>B</t>
  </si>
  <si>
    <t>&lt; 40</t>
  </si>
  <si>
    <t>CCC</t>
  </si>
  <si>
    <t>6. Confidence Score</t>
  </si>
  <si>
    <t>Data Coverage % = share of the 12 scored metrics with a usable disclosed value for that company. Banded as High (&gt;=80%), Medium (60-79.9%), Low (&lt;60%). This flags how much disclosed evidence backs a company's score, independent of the score's value.</t>
  </si>
  <si>
    <t>7. Data Sources</t>
  </si>
  <si>
    <t>All data is drawn from company-disclosed sources (BRSR filings, sustainability reports, integrated annual reports) for each company's most recent available reporting year (FY2023-24 or FY2024-25). No third-party verification was performed beyond each company's own disclosed CDP/assurance status.</t>
  </si>
  <si>
    <t>8. Key Assumptions &amp; Limitations</t>
  </si>
  <si>
    <t>- Peer group is limited to 15 Indian textile &amp; apparel manufacturers; min-max normalization is peer-relative, so scores are not comparable to companies outside this set.</t>
  </si>
  <si>
    <t>- Governance is scored on a single metric (Ownership Type / Public vs. Private) because the dataset contains no other governance-specific fields (e.g. board composition, ESG oversight committee, ethics policy, external assurance of governance). This was confirmed by a full column-by-column review before implementation.</t>
  </si>
  <si>
    <t>- Social includes Farmer/Smallholder Engagement even though only 3 of 15 companies disclose it; most companies will score 0 on this metric because it is genuinely not disclosed, not because it was estimated.</t>
  </si>
  <si>
    <t>- RE100 Membership currently does not differentiate companies (all 15 disclose 'No'), but it is retained because it is a real, verifiable data point and may differentiate future peer sets or reporting years.</t>
  </si>
  <si>
    <t>- Company size (e.g. number of employees) is intentionally excluded as a Social metric, since scale is not a measure of social performance.</t>
  </si>
  <si>
    <t>- This is an educational/portfolio project, not an investment research product, and should not be used for investment or procurement decisions.</t>
  </si>
  <si>
    <t>9. Workbook Structure</t>
  </si>
  <si>
    <t>Framework_Overview (this sheet) | LS_Main_Dataset (raw disclosed data) | ESG_Scorecard (final company-level results). A hidden Calculations sheet performs all metric scoring, dimension averaging, and confidence scoring using live formulas - unhide it to audit any number end-to-end.</t>
  </si>
  <si>
    <t>Company Name</t>
  </si>
  <si>
    <t>HQ City</t>
  </si>
  <si>
    <t>HQ State</t>
  </si>
  <si>
    <t>Latitude</t>
  </si>
  <si>
    <t>Longitude</t>
  </si>
  <si>
    <t>Year Founded</t>
  </si>
  <si>
    <t>Ownership Type</t>
  </si>
  <si>
    <t>Num Employees</t>
  </si>
  <si>
    <t>Num Male Workers</t>
  </si>
  <si>
    <t>Male %</t>
  </si>
  <si>
    <t>Female</t>
  </si>
  <si>
    <t>Female %</t>
  </si>
  <si>
    <t>Num Facilities</t>
  </si>
  <si>
    <t>Reporting Standard</t>
  </si>
  <si>
    <t>Reporting FY</t>
  </si>
  <si>
    <t>Scope1 tCO2e</t>
  </si>
  <si>
    <t>Scope2 LocationBased tCO2e</t>
  </si>
  <si>
    <t>Scope1 Plus 2 tCO2e</t>
  </si>
  <si>
    <t>RE Percentage</t>
  </si>
  <si>
    <t>Total Energy TJ</t>
  </si>
  <si>
    <t>Solar Capacity MWp</t>
  </si>
  <si>
    <t>Total Water KL</t>
  </si>
  <si>
    <t>ZLD Coverage %</t>
  </si>
  <si>
    <t>SBTi Engagement Opp</t>
  </si>
  <si>
    <t>CDP Score</t>
  </si>
  <si>
    <t>ISO14001</t>
  </si>
  <si>
    <t>GOTS</t>
  </si>
  <si>
    <t>RE100 Member</t>
  </si>
  <si>
    <t>Sustainable Materials / Inputs %</t>
  </si>
  <si>
    <t>Farmers Engaged</t>
  </si>
  <si>
    <t>Total Waste Generated (MT)</t>
  </si>
  <si>
    <t>Hazardous Waste (MT</t>
  </si>
  <si>
    <t>Plastic Waste (MT)</t>
  </si>
  <si>
    <t>Renewable Energy Target</t>
  </si>
  <si>
    <t>Coal Phase-Out Status</t>
  </si>
  <si>
    <t>Major Buyers</t>
  </si>
  <si>
    <t>Primary Raw Material</t>
  </si>
  <si>
    <t>Fabric Sourcing Geography</t>
  </si>
  <si>
    <t xml:space="preserve"> Employee Carbon Intensity
(tCO₂e/employee/year)</t>
  </si>
  <si>
    <t>Energy Carbon Intensity 
(tCO₂e/TJ)</t>
  </si>
  <si>
    <t>Environmental
(40%)</t>
  </si>
  <si>
    <t>Social
(25%)</t>
  </si>
  <si>
    <t>Governance
(20%)</t>
  </si>
  <si>
    <t>Transparency
(15%)</t>
  </si>
  <si>
    <t>Overall ESG
Score</t>
  </si>
  <si>
    <t>ESG Rating</t>
  </si>
  <si>
    <t>Data Coverage %</t>
  </si>
  <si>
    <t>Shahi Exports</t>
  </si>
  <si>
    <t>Faridabad</t>
  </si>
  <si>
    <t>Haryana</t>
  </si>
  <si>
    <t>Private</t>
  </si>
  <si>
    <t>Sustainability Report</t>
  </si>
  <si>
    <t>FY2023-24</t>
  </si>
  <si>
    <t>Not Disclosed</t>
  </si>
  <si>
    <t>Not a member</t>
  </si>
  <si>
    <t>HIGH</t>
  </si>
  <si>
    <t>Certified</t>
  </si>
  <si>
    <t>No</t>
  </si>
  <si>
    <t>100% RE by FY27</t>
  </si>
  <si>
    <t>100% coal-free in garmenting</t>
  </si>
  <si>
    <t>Walmart, Gap Inc., Target, H&amp;M, Nike, Uniqlo, PVH, Abercrombie &amp; Fitch, C&amp;A, Calvin Klein, Columbia Sportswear, Inditex, Kohl's</t>
  </si>
  <si>
    <t>Cotton Fabric, Polyester Fabric, Viscose, Denim, Trims</t>
  </si>
  <si>
    <t>India + China + Bangladesh + Vietnam + Turkey</t>
  </si>
  <si>
    <t>Vardhman Textiles</t>
  </si>
  <si>
    <t>Ludhiana</t>
  </si>
  <si>
    <t>Punjab</t>
  </si>
  <si>
    <t>Public Listed</t>
  </si>
  <si>
    <t>BRSR</t>
  </si>
  <si>
    <t>Not found</t>
  </si>
  <si>
    <t>53 MW solar capacity by 2025</t>
  </si>
  <si>
    <t>Transitioning boilers to biomass</t>
  </si>
  <si>
    <t>H&amp;M, Gap, Banana Republic, Old Navy, Esprit, Benetton, Ford (special steels)</t>
  </si>
  <si>
    <t>Lint Cotton (primary), Organic Cotton, Better Cotton, Man-made Fibres</t>
  </si>
  <si>
    <t>India (Punjab, HP, MP) + limited global specialty fibres</t>
  </si>
  <si>
    <t>Arvind Limited</t>
  </si>
  <si>
    <t>Ahmedabad</t>
  </si>
  <si>
    <t>Gujarat</t>
  </si>
  <si>
    <t>BRSR + Integrated Annual Report</t>
  </si>
  <si>
    <t>FY2024-25</t>
  </si>
  <si>
    <t>Committed</t>
  </si>
  <si>
    <t>MEDIUM</t>
  </si>
  <si>
    <t>40% RE by 2025</t>
  </si>
  <si>
    <t>Biomass replacing coal</t>
  </si>
  <si>
    <t>Levi's, Gap Inc., H&amp;M, American Eagle, Inditex, VF Corporation, Marks &amp; Spencer, Calvin Klein, Hugo Boss, J.Crew, Mango, Banana Republic</t>
  </si>
  <si>
    <t>Cotton (BCI certified), Organic Cotton, Linen, Viscose, Modal, Tencel</t>
  </si>
  <si>
    <t>India: Gujarat (Ahmedabad, Naroda, Santej) + Bangladesh facility</t>
  </si>
  <si>
    <t>Trident Limited</t>
  </si>
  <si>
    <t>Barnala</t>
  </si>
  <si>
    <t>GRI + TCFD + UNGC + SASB + BRSR</t>
  </si>
  <si>
    <t>LOW-MEDIUM</t>
  </si>
  <si>
    <t>50% eng mix from RE (FY25)</t>
  </si>
  <si>
    <t>41.3% biomass in fuel mix</t>
  </si>
  <si>
    <t>Ralph Lauren, Calvin Klein, JC Penney, IKEA, Target, Walmart, Macy's, Kohl's, Sam's Club, Burlington</t>
  </si>
  <si>
    <t>Cotton (BCI certified), Wheat Straw (paper), Yarn</t>
  </si>
  <si>
    <t>India: 95% domestic; Punjab + Madhya Pradesh (Barnala, Dhaula, Budhni)</t>
  </si>
  <si>
    <t>K.P.R. Mill Limited</t>
  </si>
  <si>
    <t>Coimbatore</t>
  </si>
  <si>
    <t>Tamil Nadu</t>
  </si>
  <si>
    <t>Not Committed</t>
  </si>
  <si>
    <t>33% of power from solar</t>
  </si>
  <si>
    <t>Primark, Walmart, H&amp;M, Marks &amp; Spencer, ASDA, K-Mart</t>
  </si>
  <si>
    <t>Cotton (major), Organic Cotton, Viscose</t>
  </si>
  <si>
    <t>India (mainly South &amp; West India)</t>
  </si>
  <si>
    <t>Page Industries</t>
  </si>
  <si>
    <t>Bengaluru</t>
  </si>
  <si>
    <t>Karnataka</t>
  </si>
  <si>
    <t>GRI 2021 + SASB + UNGC + BRSR</t>
  </si>
  <si>
    <t>Not Certified</t>
  </si>
  <si>
    <t>50% RE by FY28</t>
  </si>
  <si>
    <t>Coal-free</t>
  </si>
  <si>
    <t>Jockey International, Speedo, India retail</t>
  </si>
  <si>
    <t>Cotton fabric, elastic, yarn (OEKO-TEX 100%); ECONYL + REPET recycled yarn for Speedo</t>
  </si>
  <si>
    <t>India — Tirupur + Karnataka (domestic only)</t>
  </si>
  <si>
    <t>Indo Count</t>
  </si>
  <si>
    <t>Maharashtra</t>
  </si>
  <si>
    <t>Mumbai</t>
  </si>
  <si>
    <t>GRI Standards 2021 + SASB + TCFD</t>
  </si>
  <si>
    <t>LOW</t>
  </si>
  <si>
    <t>Net Zero by 2040</t>
  </si>
  <si>
    <t>Reducing coal via efficiency measures</t>
  </si>
  <si>
    <t>Walmart, Costco, Kohl's, Revman, JC Penney, Target</t>
  </si>
  <si>
    <t>Cotton, Yarn, Fabric</t>
  </si>
  <si>
    <t>Pearl Global</t>
  </si>
  <si>
    <t>Gurugram</t>
  </si>
  <si>
    <t xml:space="preserve">Not Disclosed </t>
  </si>
  <si>
    <t>Gap, Kohl's, PVH Corp, Polo Ralph Lauren, Inditex, Target, Macy's, Belk, Walmart, Mango, Primark</t>
  </si>
  <si>
    <t>Cotton, wool, silk, linen, georgette, polyester fabrics</t>
  </si>
  <si>
    <t xml:space="preserve">India: 100% domestic; Bangladesh: 70% local + 30% China imports
</t>
  </si>
  <si>
    <t>Welspun Living</t>
  </si>
  <si>
    <t>GRI + BRSR + SASB + TCFD + UNGC</t>
  </si>
  <si>
    <t>Via products</t>
  </si>
  <si>
    <t>100% RE by FY30</t>
  </si>
  <si>
    <t>Reducing coal via biomass substitution</t>
  </si>
  <si>
    <t>Walmart, IKEA, Target, Costco, Kohl's, Amazon, JCPenney, Sheridan, Christy, Lifestyle</t>
  </si>
  <si>
    <t>Cotton (BCI + Organic + Fair Trade); Recycled polyester (GRS)</t>
  </si>
  <si>
    <t>Vertically integrated — own spinning, weaving + BCI farmer network</t>
  </si>
  <si>
    <t>Siyaram's Silk Mills</t>
  </si>
  <si>
    <t>BRSR (SEBI Regulation 34(2)(f))</t>
  </si>
  <si>
    <t>15% electricity from RE by FY26</t>
  </si>
  <si>
    <t>No formal phase-out date</t>
  </si>
  <si>
    <t>NEXT, M&amp;S, Calvin Klein, Perry Ellis, Target, Kenneth Cole, Express, Topman</t>
  </si>
  <si>
    <t>Polyester-Viscose (PV), Cotton, Wool, Linen</t>
  </si>
  <si>
    <t>India + Europe + Australia (premium fibres)</t>
  </si>
  <si>
    <t>Jindal Worldwide</t>
  </si>
  <si>
    <t>No formal phase-out date (biomass replacing coal)</t>
  </si>
  <si>
    <t>Not Disclosed (B2B - end-use industries; no specific brand names disclosed)</t>
  </si>
  <si>
    <t>Cotton, Yarn (BCI, Organic, GRS-certified on request)</t>
  </si>
  <si>
    <t>India (16 states, GST registered in 1 state) + exports to 24 countries</t>
  </si>
  <si>
    <t>Grasim Industries</t>
  </si>
  <si>
    <t>GRI + BRSR + TCFD + UNGC + SASB + Integrated Annual Report</t>
  </si>
  <si>
    <t>16% renewable energy in total energy mix by FY30</t>
  </si>
  <si>
    <t>No formal coal phase-out date</t>
  </si>
  <si>
    <t>Paints (retail+B2B), Cellulosic Fibres (viscose/VSF), Chemicals (caustic soda, chlorine), Cement (via UltraTech)</t>
  </si>
  <si>
    <t>Wood pulp (FSC/SFI/PEFC certified), Cotton (Textiles), Caustic soda inputs, Limestone (Cement)</t>
  </si>
  <si>
    <t>India (multi-state: MP, Gujarat, Karnataka, Rajasthan, etc.) + International (Sri Lanka, UAE, Bangladesh)</t>
  </si>
  <si>
    <t>RSWM Limited</t>
  </si>
  <si>
    <t>Bhilwara (Gulabpura)</t>
  </si>
  <si>
    <t>Rajasthan</t>
  </si>
  <si>
    <t>BRSR + Sustainability Report</t>
  </si>
  <si>
    <t>18,83,332</t>
  </si>
  <si>
    <t>45% green energy (of total energy consumption) by FY26, up from 33% in FY25; all 6 industrial boilers on biofuel by FY26 (3 of 6 already converted); PET recycling capacity expansion 122→130 TPD</t>
  </si>
  <si>
    <t>No formal coal phase-out date disclosed; actively transitioning boilers from coal to biofuel (3 of 6 boilers converted as of FY25, target 100% by FY26)</t>
  </si>
  <si>
    <t>Not Disclosed (B2B yarn/fabric manufacturer supplying fabric manufacturers, apparel brands &amp; textile wholesalers across 70+ countries; no specific brand names disclosed)</t>
  </si>
  <si>
    <t>Cotton, Synthetic/man-made fibres (polyester, viscose, PV blends), Recycled Polyester (from PET bottles), Organic Cotton</t>
  </si>
  <si>
    <t>India — 12 plants across Rajasthan (Bhilwara, Banswara, Sikar/Ringas, Udaipur/Rishabdev) + Uttar Pradesh (Mathura/Chhata); exports ~31.47% of turnover to 63 countries</t>
  </si>
  <si>
    <t>Gokaldas Exports Limited</t>
  </si>
  <si>
    <t>Carbon neutral (own ops) &amp; water positive by FY2030; Net-zero by 2045; Zero-to-landfill before FY2030; ~72-73% of grid electricity offset by 7.5 MW solar park (13 units)</t>
  </si>
  <si>
    <t>Not Disclosed (no coal mentioned; energy mix is grid electricity, biomass, and other non-renewable fuel)</t>
  </si>
  <si>
    <t>Not Disclosed by name (global fashion retailers, wholesalers &amp; brands, primarily USA &amp; Europe; exports = 87% of turnover)</t>
  </si>
  <si>
    <t>Fabric &amp; Trims (predominantly cotton-based; 13% recycled fabric)</t>
  </si>
  <si>
    <t>India (70.9% of inputs sourced domestically); remainder via customer(global brand)-nominated vendors globally</t>
  </si>
  <si>
    <t>Vamani Overseas Pvt. Ltd.</t>
  </si>
  <si>
    <t>GRI Standards 2021 (GRI 1, 2 &amp; 3)</t>
  </si>
  <si>
    <t>CY2023 (Jan-Dec 2023)</t>
  </si>
  <si>
    <t>C</t>
  </si>
  <si>
    <t>80% renewable electricity by 2030 (vs. 2023 baseline)</t>
  </si>
  <si>
    <t>No coal disclosed; 100% PNG-fired boilers + biomass-fired boiler in Guntur plant</t>
  </si>
  <si>
    <t>ZARA (Inditex), LEVI's, Mango, Kiabi, Target, C&amp;A, H&amp;M</t>
  </si>
  <si>
    <t>Cotton (BCI/GOTS/OCS certified), Polyester (GRS/RCS certified), Viscose (Ecovera/Ecoliva), Flax/Linen (European Flax certified)</t>
  </si>
  <si>
    <t>ESG Rating Scorecard</t>
  </si>
  <si>
    <t>Company</t>
  </si>
  <si>
    <t>Confidence Level</t>
  </si>
  <si>
    <t>Scores are calculated on the hidden Calculations sheet using peer min-max normalization and simple dimension averages. See Framework Overview for full methodology.</t>
  </si>
  <si>
    <t>Emissions Intensity (raw, tCO2e/employee)</t>
  </si>
  <si>
    <t>Water Intensity (raw, KL/employee)</t>
  </si>
  <si>
    <t>Waste Intensity (raw, MT/employee)</t>
  </si>
  <si>
    <t>RE % (raw)</t>
  </si>
  <si>
    <t>Sustainable Materials % (raw)</t>
  </si>
  <si>
    <t>Emissions Intensity Score</t>
  </si>
  <si>
    <t>Renewable Energy % Score</t>
  </si>
  <si>
    <t>Water Intensity Score</t>
  </si>
  <si>
    <t>Waste Intensity Score</t>
  </si>
  <si>
    <t>Sustainable Materials % Score</t>
  </si>
  <si>
    <t>SBTi Status Score</t>
  </si>
  <si>
    <t>RE100 Membership Score</t>
  </si>
  <si>
    <t>ENVIRONMENTAL SCORE</t>
  </si>
  <si>
    <t>Gender Diversity Score</t>
  </si>
  <si>
    <t>Farmer Engagement Score</t>
  </si>
  <si>
    <t>SOCIAL SCORE</t>
  </si>
  <si>
    <t>GOVERNANCE SCORE (Ownership Type)</t>
  </si>
  <si>
    <t>Reporting Framework Score</t>
  </si>
  <si>
    <t>TRANSPARENCY SCORE</t>
  </si>
  <si>
    <t>OVERALL ESG SCORE</t>
  </si>
  <si>
    <t>ESG 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</si>
</sst>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8.0"/>
      <color rgb="FF1F4E3D"/>
      <name val="Arial"/>
    </font>
    <font>
      <i/>
      <sz val="10.0"/>
      <color rgb="FF595959"/>
      <name val="Arial"/>
    </font>
    <font>
      <color theme="1"/>
      <name val="Calibri"/>
      <scheme val="minor"/>
    </font>
    <font>
      <b/>
      <sz val="12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b/>
      <sz val="9.0"/>
      <color theme="1"/>
      <name val="Arial"/>
    </font>
    <font>
      <b/>
      <color rgb="FFFFFFFF"/>
      <name val="Arial"/>
    </font>
    <font>
      <sz val="9.0"/>
      <color rgb="FF1A1A1A"/>
      <name val="Arial"/>
    </font>
    <font>
      <sz val="9.0"/>
      <color theme="1"/>
      <name val="Arial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11.0"/>
      <color theme="1"/>
      <name val="Calibri"/>
    </font>
    <font>
      <b/>
      <sz val="16.0"/>
      <color rgb="FF1F4E3D"/>
      <name val="Arial"/>
    </font>
    <font>
      <b/>
      <sz val="10.0"/>
      <color rgb="FFFFFFFF"/>
      <name val="Arial"/>
    </font>
    <font>
      <i/>
      <sz val="8.0"/>
      <color rgb="FF80808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F4E3D"/>
        <bgColor rgb="FF1F4E3D"/>
      </patternFill>
    </fill>
    <fill>
      <patternFill patternType="solid">
        <fgColor rgb="FF1A3C5E"/>
        <bgColor rgb="FF1A3C5E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D0E0E3"/>
        <bgColor rgb="FFD0E0E3"/>
      </patternFill>
    </fill>
    <fill>
      <patternFill patternType="solid">
        <fgColor rgb="FFE8F4FD"/>
        <bgColor rgb="FFE8F4FD"/>
      </patternFill>
    </fill>
    <fill>
      <patternFill patternType="solid">
        <fgColor rgb="FFF3E8FF"/>
        <bgColor rgb="FFF3E8FF"/>
      </patternFill>
    </fill>
    <fill>
      <patternFill patternType="solid">
        <fgColor rgb="FFE2EFDA"/>
        <bgColor rgb="FFE2EFDA"/>
      </patternFill>
    </fill>
    <fill>
      <patternFill patternType="solid">
        <fgColor rgb="FFF2E884"/>
        <bgColor rgb="FFF2E884"/>
      </patternFill>
    </fill>
    <fill>
      <patternFill patternType="solid">
        <fgColor rgb="FFF2F2F2"/>
        <bgColor rgb="FFF2F2F2"/>
      </patternFill>
    </fill>
    <fill>
      <patternFill patternType="solid">
        <fgColor rgb="FFFFF8E8"/>
        <bgColor rgb="FFFFF8E8"/>
      </patternFill>
    </fill>
    <fill>
      <patternFill patternType="solid">
        <fgColor rgb="FFE8FDF0"/>
        <bgColor rgb="FFE8FDF0"/>
      </patternFill>
    </fill>
    <fill>
      <patternFill patternType="solid">
        <fgColor rgb="FFFF0000"/>
        <bgColor rgb="FFFF0000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DEEFF"/>
        <bgColor rgb="FFDDEEF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left" shrinkToFit="0" vertical="center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top" wrapText="0"/>
    </xf>
    <xf borderId="4" fillId="4" fontId="8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10" fontId="9" numFmtId="0" xfId="0" applyAlignment="1" applyBorder="1" applyFill="1" applyFont="1">
      <alignment horizontal="center" shrinkToFit="0" vertical="center" wrapText="0"/>
    </xf>
    <xf borderId="4" fillId="10" fontId="9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wrapText="1"/>
    </xf>
    <xf borderId="6" fillId="11" fontId="11" numFmtId="0" xfId="0" applyAlignment="1" applyBorder="1" applyFill="1" applyFont="1">
      <alignment horizontal="center" shrinkToFit="0" vertical="center" wrapText="1"/>
    </xf>
    <xf borderId="6" fillId="12" fontId="11" numFmtId="0" xfId="0" applyAlignment="1" applyBorder="1" applyFill="1" applyFont="1">
      <alignment horizontal="center" shrinkToFit="0" vertical="center" wrapText="1"/>
    </xf>
    <xf borderId="6" fillId="12" fontId="11" numFmtId="3" xfId="0" applyAlignment="1" applyBorder="1" applyFont="1" applyNumberFormat="1">
      <alignment horizontal="center" shrinkToFit="0" vertical="center" wrapText="1"/>
    </xf>
    <xf borderId="6" fillId="12" fontId="11" numFmtId="4" xfId="0" applyAlignment="1" applyBorder="1" applyFont="1" applyNumberFormat="1">
      <alignment horizontal="center" shrinkToFit="0" vertical="center" wrapText="1"/>
    </xf>
    <xf borderId="6" fillId="13" fontId="11" numFmtId="0" xfId="0" applyAlignment="1" applyBorder="1" applyFill="1" applyFont="1">
      <alignment horizontal="center" shrinkToFit="0" vertical="center" wrapText="1"/>
    </xf>
    <xf borderId="6" fillId="14" fontId="11" numFmtId="0" xfId="0" applyAlignment="1" applyBorder="1" applyFill="1" applyFont="1">
      <alignment horizontal="center" shrinkToFit="0" vertical="center" wrapText="0"/>
    </xf>
    <xf borderId="6" fillId="12" fontId="12" numFmtId="0" xfId="0" applyAlignment="1" applyBorder="1" applyFont="1">
      <alignment horizontal="center" shrinkToFit="0" vertical="center" wrapText="0"/>
    </xf>
    <xf borderId="6" fillId="12" fontId="12" numFmtId="3" xfId="0" applyAlignment="1" applyBorder="1" applyFont="1" applyNumberFormat="1">
      <alignment horizontal="center" shrinkToFit="0" vertical="center" wrapText="0"/>
    </xf>
    <xf borderId="5" fillId="0" fontId="13" numFmtId="0" xfId="0" applyAlignment="1" applyBorder="1" applyFont="1">
      <alignment horizontal="center"/>
    </xf>
    <xf borderId="5" fillId="15" fontId="14" numFmtId="0" xfId="0" applyAlignment="1" applyBorder="1" applyFill="1" applyFont="1">
      <alignment horizontal="center"/>
    </xf>
    <xf borderId="6" fillId="16" fontId="11" numFmtId="0" xfId="0" applyAlignment="1" applyBorder="1" applyFill="1" applyFont="1">
      <alignment horizontal="center" shrinkToFit="0" vertical="center" wrapText="1"/>
    </xf>
    <xf borderId="6" fillId="16" fontId="11" numFmtId="4" xfId="0" applyAlignment="1" applyBorder="1" applyFont="1" applyNumberFormat="1">
      <alignment horizontal="center" shrinkToFit="0" vertical="center" wrapText="1"/>
    </xf>
    <xf borderId="6" fillId="16" fontId="6" numFmtId="0" xfId="0" applyAlignment="1" applyBorder="1" applyFont="1">
      <alignment shrinkToFit="0" vertical="center" wrapText="0"/>
    </xf>
    <xf borderId="6" fillId="16" fontId="12" numFmtId="0" xfId="0" applyAlignment="1" applyBorder="1" applyFont="1">
      <alignment horizontal="center" shrinkToFit="0" vertical="center" wrapText="0"/>
    </xf>
    <xf borderId="6" fillId="17" fontId="11" numFmtId="0" xfId="0" applyAlignment="1" applyBorder="1" applyFill="1" applyFont="1">
      <alignment horizontal="center" shrinkToFit="0" vertical="center" wrapText="1"/>
    </xf>
    <xf borderId="6" fillId="17" fontId="11" numFmtId="3" xfId="0" applyAlignment="1" applyBorder="1" applyFont="1" applyNumberFormat="1">
      <alignment horizontal="center" shrinkToFit="0" vertical="center" wrapText="1"/>
    </xf>
    <xf borderId="6" fillId="18" fontId="11" numFmtId="0" xfId="0" applyAlignment="1" applyBorder="1" applyFill="1" applyFont="1">
      <alignment horizontal="center" shrinkToFit="0" vertical="center" wrapText="1"/>
    </xf>
    <xf borderId="6" fillId="16" fontId="11" numFmtId="3" xfId="0" applyAlignment="1" applyBorder="1" applyFont="1" applyNumberFormat="1">
      <alignment horizontal="center" shrinkToFit="0" vertical="center" wrapText="1"/>
    </xf>
    <xf borderId="6" fillId="16" fontId="11" numFmtId="0" xfId="0" applyAlignment="1" applyBorder="1" applyFont="1">
      <alignment horizontal="center" shrinkToFit="0" vertical="center" wrapText="0"/>
    </xf>
    <xf borderId="6" fillId="13" fontId="11" numFmtId="3" xfId="0" applyAlignment="1" applyBorder="1" applyFont="1" applyNumberFormat="1">
      <alignment horizontal="center" shrinkToFit="0" vertical="center" wrapText="1"/>
    </xf>
    <xf borderId="6" fillId="13" fontId="11" numFmtId="1" xfId="0" applyAlignment="1" applyBorder="1" applyFont="1" applyNumberFormat="1">
      <alignment horizontal="center" shrinkToFit="0" vertical="center" wrapText="1"/>
    </xf>
    <xf borderId="6" fillId="16" fontId="15" numFmtId="0" xfId="0" applyAlignment="1" applyBorder="1" applyFont="1">
      <alignment horizontal="center" shrinkToFit="0" vertical="center" wrapText="0"/>
    </xf>
    <xf borderId="6" fillId="19" fontId="11" numFmtId="0" xfId="0" applyAlignment="1" applyBorder="1" applyFill="1" applyFont="1">
      <alignment horizontal="center" shrinkToFit="0" vertical="center" wrapText="1"/>
    </xf>
    <xf borderId="6" fillId="20" fontId="12" numFmtId="0" xfId="0" applyAlignment="1" applyBorder="1" applyFill="1" applyFont="1">
      <alignment horizontal="center" shrinkToFit="0" vertical="center" wrapText="0"/>
    </xf>
    <xf borderId="6" fillId="21" fontId="11" numFmtId="0" xfId="0" applyAlignment="1" applyBorder="1" applyFill="1" applyFont="1">
      <alignment horizontal="center" shrinkToFit="0" vertical="center" wrapText="0"/>
    </xf>
    <xf borderId="6" fillId="22" fontId="11" numFmtId="0" xfId="0" applyAlignment="1" applyBorder="1" applyFill="1" applyFont="1">
      <alignment horizontal="center" shrinkToFit="0" vertical="center" wrapText="0"/>
    </xf>
    <xf borderId="6" fillId="22" fontId="15" numFmtId="0" xfId="0" applyAlignment="1" applyBorder="1" applyFont="1">
      <alignment horizontal="center" shrinkToFit="0" vertical="center" wrapText="0"/>
    </xf>
    <xf borderId="6" fillId="12" fontId="15" numFmtId="0" xfId="0" applyAlignment="1" applyBorder="1" applyFont="1">
      <alignment horizontal="center" shrinkToFit="0" vertical="center" wrapText="0"/>
    </xf>
    <xf borderId="6" fillId="13" fontId="11" numFmtId="0" xfId="0" applyAlignment="1" applyBorder="1" applyFont="1">
      <alignment horizontal="center" shrinkToFit="0" vertical="center" wrapText="0"/>
    </xf>
    <xf borderId="6" fillId="12" fontId="11" numFmtId="0" xfId="0" applyAlignment="1" applyBorder="1" applyFont="1">
      <alignment horizontal="center" shrinkToFit="0" vertical="center" wrapText="0"/>
    </xf>
    <xf borderId="6" fillId="12" fontId="11" numFmtId="3" xfId="0" applyAlignment="1" applyBorder="1" applyFont="1" applyNumberFormat="1">
      <alignment horizontal="center" shrinkToFit="0" vertical="center" wrapText="0"/>
    </xf>
    <xf borderId="6" fillId="12" fontId="11" numFmtId="4" xfId="0" applyAlignment="1" applyBorder="1" applyFont="1" applyNumberFormat="1">
      <alignment horizontal="center" shrinkToFit="0" vertical="center" wrapText="0"/>
    </xf>
    <xf borderId="6" fillId="12" fontId="15" numFmtId="3" xfId="0" applyAlignment="1" applyBorder="1" applyFont="1" applyNumberFormat="1">
      <alignment horizontal="center" shrinkToFit="0" vertical="center" wrapText="0"/>
    </xf>
    <xf borderId="6" fillId="16" fontId="11" numFmtId="3" xfId="0" applyAlignment="1" applyBorder="1" applyFont="1" applyNumberFormat="1">
      <alignment horizontal="center" shrinkToFit="0" vertical="center" wrapText="0"/>
    </xf>
    <xf borderId="6" fillId="16" fontId="11" numFmtId="4" xfId="0" applyAlignment="1" applyBorder="1" applyFont="1" applyNumberFormat="1">
      <alignment horizontal="center" shrinkToFit="0" vertical="center" wrapText="0"/>
    </xf>
    <xf borderId="6" fillId="16" fontId="15" numFmtId="3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5" fillId="3" fontId="18" numFmtId="0" xfId="0" applyAlignment="1" applyBorder="1" applyFont="1">
      <alignment horizontal="center" shrinkToFit="0" vertical="center" wrapText="1"/>
    </xf>
    <xf borderId="5" fillId="3" fontId="18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top" wrapText="0"/>
    </xf>
    <xf borderId="5" fillId="0" fontId="7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7" fillId="3" fontId="8" numFmtId="0" xfId="0" applyAlignment="1" applyBorder="1" applyFont="1">
      <alignment horizontal="center" shrinkToFit="0" vertical="center" wrapText="1"/>
    </xf>
    <xf borderId="7" fillId="23" fontId="12" numFmtId="0" xfId="0" applyAlignment="1" applyBorder="1" applyFill="1" applyFont="1">
      <alignment shrinkToFit="0" vertical="bottom" wrapText="0"/>
    </xf>
    <xf borderId="7" fillId="14" fontId="12" numFmtId="0" xfId="0" applyAlignment="1" applyBorder="1" applyFont="1">
      <alignment shrinkToFit="0" vertical="bottom" wrapText="0"/>
    </xf>
    <xf borderId="7" fillId="21" fontId="12" numFmtId="0" xfId="0" applyAlignment="1" applyBorder="1" applyFont="1">
      <alignment shrinkToFit="0" vertical="bottom" wrapText="0"/>
    </xf>
    <xf borderId="7" fillId="24" fontId="12" numFmtId="0" xfId="0" applyAlignment="1" applyBorder="1" applyFill="1" applyFont="1">
      <alignment shrinkToFit="0" vertical="bottom" wrapText="0"/>
    </xf>
    <xf borderId="7" fillId="25" fontId="1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26.0"/>
    <col customWidth="1" min="6" max="26" width="8.71"/>
  </cols>
  <sheetData>
    <row r="1">
      <c r="A1" s="1" t="s">
        <v>0</v>
      </c>
    </row>
    <row r="2">
      <c r="A2" s="2" t="s">
        <v>1</v>
      </c>
    </row>
    <row r="3">
      <c r="A3" s="3"/>
    </row>
    <row r="4" ht="19.5" customHeight="1">
      <c r="A4" s="4" t="s">
        <v>2</v>
      </c>
      <c r="B4" s="5"/>
      <c r="C4" s="5"/>
      <c r="D4" s="5"/>
      <c r="E4" s="6"/>
    </row>
    <row r="5" ht="45.0" customHeight="1">
      <c r="A5" s="7" t="s">
        <v>3</v>
      </c>
    </row>
    <row r="7" ht="19.5" customHeight="1">
      <c r="A7" s="4" t="s">
        <v>4</v>
      </c>
      <c r="B7" s="5"/>
      <c r="C7" s="5"/>
      <c r="D7" s="5"/>
      <c r="E7" s="6"/>
    </row>
    <row r="8" ht="45.0" customHeight="1">
      <c r="A8" s="7" t="s">
        <v>5</v>
      </c>
    </row>
    <row r="10" ht="19.5" customHeight="1">
      <c r="A10" s="4" t="s">
        <v>6</v>
      </c>
      <c r="B10" s="5"/>
      <c r="C10" s="5"/>
      <c r="D10" s="5"/>
      <c r="E10" s="6"/>
    </row>
    <row r="11">
      <c r="A11" s="8" t="s">
        <v>7</v>
      </c>
      <c r="B11" s="8" t="s">
        <v>8</v>
      </c>
      <c r="C11" s="8" t="s">
        <v>9</v>
      </c>
    </row>
    <row r="12">
      <c r="A12" s="9" t="s">
        <v>10</v>
      </c>
      <c r="B12" s="9" t="s">
        <v>11</v>
      </c>
      <c r="C12" s="9" t="s">
        <v>12</v>
      </c>
    </row>
    <row r="13">
      <c r="A13" s="9" t="s">
        <v>13</v>
      </c>
      <c r="B13" s="9" t="s">
        <v>14</v>
      </c>
      <c r="C13" s="9" t="s">
        <v>15</v>
      </c>
    </row>
    <row r="14">
      <c r="A14" s="9" t="s">
        <v>16</v>
      </c>
      <c r="B14" s="9" t="s">
        <v>17</v>
      </c>
      <c r="C14" s="9" t="s">
        <v>18</v>
      </c>
    </row>
    <row r="15">
      <c r="A15" s="9" t="s">
        <v>19</v>
      </c>
      <c r="B15" s="9" t="s">
        <v>20</v>
      </c>
      <c r="C15" s="9" t="s">
        <v>15</v>
      </c>
    </row>
    <row r="16" ht="15.0" customHeight="1">
      <c r="A16" s="10" t="s">
        <v>21</v>
      </c>
    </row>
    <row r="18" ht="19.5" customHeight="1">
      <c r="A18" s="4" t="s">
        <v>22</v>
      </c>
      <c r="B18" s="5"/>
      <c r="C18" s="5"/>
      <c r="D18" s="5"/>
      <c r="E18" s="6"/>
    </row>
    <row r="19">
      <c r="A19" s="8" t="s">
        <v>7</v>
      </c>
      <c r="B19" s="8" t="s">
        <v>23</v>
      </c>
      <c r="C19" s="8" t="s">
        <v>24</v>
      </c>
      <c r="D19" s="8" t="s">
        <v>25</v>
      </c>
    </row>
    <row r="20">
      <c r="A20" s="11" t="s">
        <v>26</v>
      </c>
      <c r="B20" s="9" t="s">
        <v>27</v>
      </c>
      <c r="C20" s="9" t="s">
        <v>28</v>
      </c>
      <c r="D20" s="9" t="s">
        <v>29</v>
      </c>
    </row>
    <row r="21" ht="15.75" customHeight="1">
      <c r="B21" s="9" t="s">
        <v>30</v>
      </c>
      <c r="C21" s="9" t="s">
        <v>31</v>
      </c>
      <c r="D21" s="9" t="s">
        <v>32</v>
      </c>
    </row>
    <row r="22" ht="15.75" customHeight="1">
      <c r="B22" s="9" t="s">
        <v>33</v>
      </c>
      <c r="C22" s="9" t="s">
        <v>28</v>
      </c>
      <c r="D22" s="9" t="s">
        <v>29</v>
      </c>
    </row>
    <row r="23" ht="15.75" customHeight="1">
      <c r="B23" s="9" t="s">
        <v>34</v>
      </c>
      <c r="C23" s="9" t="s">
        <v>28</v>
      </c>
      <c r="D23" s="9" t="s">
        <v>29</v>
      </c>
    </row>
    <row r="24" ht="15.75" customHeight="1">
      <c r="B24" s="9" t="s">
        <v>35</v>
      </c>
      <c r="C24" s="9" t="s">
        <v>31</v>
      </c>
      <c r="D24" s="9" t="s">
        <v>32</v>
      </c>
    </row>
    <row r="25" ht="15.75" customHeight="1">
      <c r="B25" s="9" t="s">
        <v>36</v>
      </c>
      <c r="C25" s="9" t="s">
        <v>31</v>
      </c>
      <c r="D25" s="9" t="s">
        <v>37</v>
      </c>
    </row>
    <row r="26" ht="15.75" customHeight="1">
      <c r="B26" s="9" t="s">
        <v>38</v>
      </c>
      <c r="C26" s="9" t="s">
        <v>31</v>
      </c>
      <c r="D26" s="9" t="s">
        <v>39</v>
      </c>
    </row>
    <row r="27" ht="15.75" customHeight="1">
      <c r="A27" s="12" t="s">
        <v>40</v>
      </c>
      <c r="B27" s="9" t="s">
        <v>41</v>
      </c>
      <c r="C27" s="9" t="s">
        <v>31</v>
      </c>
      <c r="D27" s="9" t="s">
        <v>32</v>
      </c>
    </row>
    <row r="28" ht="15.75" customHeight="1">
      <c r="B28" s="9" t="s">
        <v>42</v>
      </c>
      <c r="C28" s="9" t="s">
        <v>31</v>
      </c>
      <c r="D28" s="9" t="s">
        <v>43</v>
      </c>
    </row>
    <row r="29" ht="15.75" customHeight="1">
      <c r="A29" s="9" t="s">
        <v>44</v>
      </c>
      <c r="B29" s="9" t="s">
        <v>45</v>
      </c>
      <c r="C29" s="9" t="s">
        <v>31</v>
      </c>
      <c r="D29" s="9" t="s">
        <v>37</v>
      </c>
    </row>
    <row r="30" ht="15.75" customHeight="1">
      <c r="A30" s="11" t="s">
        <v>46</v>
      </c>
      <c r="B30" s="9" t="s">
        <v>47</v>
      </c>
      <c r="C30" s="9" t="s">
        <v>31</v>
      </c>
      <c r="D30" s="9" t="s">
        <v>48</v>
      </c>
    </row>
    <row r="31" ht="15.75" customHeight="1">
      <c r="B31" s="9" t="s">
        <v>49</v>
      </c>
      <c r="C31" s="9" t="s">
        <v>31</v>
      </c>
      <c r="D31" s="9" t="s">
        <v>37</v>
      </c>
    </row>
    <row r="32" ht="15.75" customHeight="1"/>
    <row r="33" ht="19.5" customHeight="1">
      <c r="A33" s="4" t="s">
        <v>50</v>
      </c>
      <c r="B33" s="5"/>
      <c r="C33" s="5"/>
      <c r="D33" s="5"/>
      <c r="E33" s="6"/>
    </row>
    <row r="34" ht="15.75" customHeight="1">
      <c r="A34" s="8" t="s">
        <v>51</v>
      </c>
      <c r="B34" s="8" t="s">
        <v>52</v>
      </c>
    </row>
    <row r="35" ht="15.75" customHeight="1">
      <c r="A35" s="9" t="s">
        <v>53</v>
      </c>
      <c r="B35" s="9" t="s">
        <v>54</v>
      </c>
    </row>
    <row r="36" ht="15.75" customHeight="1">
      <c r="A36" s="9" t="s">
        <v>55</v>
      </c>
      <c r="B36" s="9" t="s">
        <v>56</v>
      </c>
    </row>
    <row r="37" ht="15.75" customHeight="1">
      <c r="A37" s="9" t="s">
        <v>57</v>
      </c>
      <c r="B37" s="9" t="s">
        <v>58</v>
      </c>
    </row>
    <row r="38" ht="15.75" customHeight="1">
      <c r="A38" s="9" t="s">
        <v>59</v>
      </c>
      <c r="B38" s="9" t="s">
        <v>60</v>
      </c>
    </row>
    <row r="39" ht="15.75" customHeight="1">
      <c r="A39" s="9" t="s">
        <v>61</v>
      </c>
      <c r="B39" s="9" t="s">
        <v>62</v>
      </c>
    </row>
    <row r="40" ht="15.75" customHeight="1">
      <c r="A40" s="9" t="s">
        <v>63</v>
      </c>
      <c r="B40" s="9" t="s">
        <v>64</v>
      </c>
    </row>
    <row r="41" ht="15.75" customHeight="1">
      <c r="A41" s="9" t="s">
        <v>65</v>
      </c>
      <c r="B41" s="9" t="s">
        <v>66</v>
      </c>
    </row>
    <row r="42" ht="15.75" customHeight="1"/>
    <row r="43" ht="19.5" customHeight="1">
      <c r="A43" s="4" t="s">
        <v>67</v>
      </c>
      <c r="B43" s="5"/>
      <c r="C43" s="5"/>
      <c r="D43" s="5"/>
      <c r="E43" s="6"/>
    </row>
    <row r="44" ht="45.0" customHeight="1">
      <c r="A44" s="7" t="s">
        <v>68</v>
      </c>
    </row>
    <row r="45" ht="15.75" customHeight="1"/>
    <row r="46" ht="19.5" customHeight="1">
      <c r="A46" s="4" t="s">
        <v>69</v>
      </c>
      <c r="B46" s="5"/>
      <c r="C46" s="5"/>
      <c r="D46" s="5"/>
      <c r="E46" s="6"/>
    </row>
    <row r="47" ht="34.5" customHeight="1">
      <c r="A47" s="7" t="s">
        <v>70</v>
      </c>
    </row>
    <row r="48" ht="15.75" customHeight="1"/>
    <row r="49" ht="19.5" customHeight="1">
      <c r="A49" s="4" t="s">
        <v>71</v>
      </c>
      <c r="B49" s="5"/>
      <c r="C49" s="5"/>
      <c r="D49" s="5"/>
      <c r="E49" s="6"/>
    </row>
    <row r="50" ht="27.75" customHeight="1">
      <c r="A50" s="7" t="s">
        <v>72</v>
      </c>
    </row>
    <row r="51" ht="27.75" customHeight="1">
      <c r="A51" s="13" t="s">
        <v>73</v>
      </c>
    </row>
    <row r="52" ht="27.75" customHeight="1">
      <c r="A52" s="7" t="s">
        <v>74</v>
      </c>
    </row>
    <row r="53" ht="27.75" customHeight="1">
      <c r="A53" s="7" t="s">
        <v>75</v>
      </c>
    </row>
    <row r="54" ht="27.75" customHeight="1">
      <c r="A54" s="7" t="s">
        <v>76</v>
      </c>
    </row>
    <row r="55" ht="27.75" customHeight="1">
      <c r="A55" s="7" t="s">
        <v>77</v>
      </c>
    </row>
    <row r="56" ht="15.75" customHeight="1"/>
    <row r="57" ht="19.5" customHeight="1">
      <c r="A57" s="4" t="s">
        <v>78</v>
      </c>
      <c r="B57" s="5"/>
      <c r="C57" s="5"/>
      <c r="D57" s="5"/>
      <c r="E57" s="6"/>
    </row>
    <row r="58" ht="34.5" customHeight="1">
      <c r="A58" s="7" t="s">
        <v>79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5">
    <mergeCell ref="A1:E1"/>
    <mergeCell ref="A2:E2"/>
    <mergeCell ref="A3:E3"/>
    <mergeCell ref="A4:E4"/>
    <mergeCell ref="A5:E5"/>
    <mergeCell ref="A7:E7"/>
    <mergeCell ref="A8:E8"/>
    <mergeCell ref="A10:E10"/>
    <mergeCell ref="C11:E11"/>
    <mergeCell ref="C12:E12"/>
    <mergeCell ref="C13:E13"/>
    <mergeCell ref="C14:E14"/>
    <mergeCell ref="C15:E15"/>
    <mergeCell ref="A16:E16"/>
    <mergeCell ref="A20:A26"/>
    <mergeCell ref="A27:A28"/>
    <mergeCell ref="A30:A31"/>
    <mergeCell ref="A18:E18"/>
    <mergeCell ref="D19:E19"/>
    <mergeCell ref="D20:E20"/>
    <mergeCell ref="D21:E21"/>
    <mergeCell ref="D22:E22"/>
    <mergeCell ref="D23:E23"/>
    <mergeCell ref="D26:E26"/>
    <mergeCell ref="D24:E24"/>
    <mergeCell ref="D25:E25"/>
    <mergeCell ref="D27:E27"/>
    <mergeCell ref="D28:E28"/>
    <mergeCell ref="D29:E29"/>
    <mergeCell ref="D30:E30"/>
    <mergeCell ref="D31:E31"/>
    <mergeCell ref="A51:E51"/>
    <mergeCell ref="A52:E52"/>
    <mergeCell ref="A53:E53"/>
    <mergeCell ref="A54:E54"/>
    <mergeCell ref="A55:E55"/>
    <mergeCell ref="A57:E57"/>
    <mergeCell ref="A58:E58"/>
    <mergeCell ref="A33:E33"/>
    <mergeCell ref="A43:E43"/>
    <mergeCell ref="A44:E44"/>
    <mergeCell ref="A46:E46"/>
    <mergeCell ref="A47:E47"/>
    <mergeCell ref="A49:E49"/>
    <mergeCell ref="A50:E5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0"/>
    <col customWidth="1" min="2" max="2" width="22.0"/>
    <col customWidth="1" min="3" max="4" width="13.0"/>
    <col customWidth="1" min="5" max="5" width="11.0"/>
    <col customWidth="1" min="6" max="6" width="14.0"/>
    <col customWidth="1" min="7" max="7" width="16.0"/>
    <col customWidth="1" min="8" max="8" width="15.0"/>
    <col customWidth="1" min="9" max="12" width="18.0"/>
    <col customWidth="1" min="13" max="13" width="16.0"/>
    <col customWidth="1" min="14" max="14" width="28.0"/>
    <col customWidth="1" min="15" max="15" width="23.0"/>
    <col customWidth="1" min="16" max="16" width="15.0"/>
    <col customWidth="1" min="17" max="17" width="28.0"/>
    <col customWidth="1" min="18" max="18" width="21.0"/>
    <col customWidth="1" min="19" max="19" width="15.0"/>
    <col customWidth="1" min="20" max="20" width="17.0"/>
    <col customWidth="1" min="21" max="21" width="20.0"/>
    <col customWidth="1" min="22" max="23" width="16.0"/>
    <col customWidth="1" min="24" max="24" width="15.0"/>
    <col customWidth="1" min="25" max="25" width="21.0"/>
    <col customWidth="1" min="26" max="28" width="15.0"/>
    <col customWidth="1" min="29" max="29" width="14.0"/>
    <col customWidth="1" min="30" max="30" width="28.0"/>
    <col customWidth="1" min="31" max="31" width="17.0"/>
    <col customWidth="1" min="32" max="32" width="28.0"/>
    <col customWidth="1" min="33" max="33" width="21.0"/>
    <col customWidth="1" min="34" max="34" width="20.0"/>
    <col customWidth="1" min="35" max="48" width="28.0"/>
  </cols>
  <sheetData>
    <row r="1" ht="32.25" customHeight="1">
      <c r="A1" s="14" t="s">
        <v>80</v>
      </c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  <c r="H1" s="15" t="s">
        <v>87</v>
      </c>
      <c r="I1" s="15" t="s">
        <v>88</v>
      </c>
      <c r="J1" s="15" t="s">
        <v>89</v>
      </c>
      <c r="K1" s="15" t="s">
        <v>90</v>
      </c>
      <c r="L1" s="15" t="s">
        <v>91</v>
      </c>
      <c r="M1" s="15" t="s">
        <v>92</v>
      </c>
      <c r="N1" s="14" t="s">
        <v>93</v>
      </c>
      <c r="O1" s="14" t="s">
        <v>94</v>
      </c>
      <c r="P1" s="16" t="s">
        <v>95</v>
      </c>
      <c r="Q1" s="16" t="s">
        <v>96</v>
      </c>
      <c r="R1" s="16" t="s">
        <v>97</v>
      </c>
      <c r="S1" s="17" t="s">
        <v>98</v>
      </c>
      <c r="T1" s="17" t="s">
        <v>99</v>
      </c>
      <c r="U1" s="17" t="s">
        <v>100</v>
      </c>
      <c r="V1" s="17" t="s">
        <v>101</v>
      </c>
      <c r="W1" s="17" t="s">
        <v>102</v>
      </c>
      <c r="X1" s="14" t="s">
        <v>36</v>
      </c>
      <c r="Y1" s="14" t="s">
        <v>103</v>
      </c>
      <c r="Z1" s="14" t="s">
        <v>104</v>
      </c>
      <c r="AA1" s="14" t="s">
        <v>105</v>
      </c>
      <c r="AB1" s="14" t="s">
        <v>106</v>
      </c>
      <c r="AC1" s="14" t="s">
        <v>107</v>
      </c>
      <c r="AD1" s="18" t="s">
        <v>108</v>
      </c>
      <c r="AE1" s="18" t="s">
        <v>109</v>
      </c>
      <c r="AF1" s="19" t="s">
        <v>110</v>
      </c>
      <c r="AG1" s="19" t="s">
        <v>111</v>
      </c>
      <c r="AH1" s="19" t="s">
        <v>112</v>
      </c>
      <c r="AI1" s="20" t="s">
        <v>113</v>
      </c>
      <c r="AJ1" s="20" t="s">
        <v>114</v>
      </c>
      <c r="AK1" s="20" t="s">
        <v>115</v>
      </c>
      <c r="AL1" s="20" t="s">
        <v>116</v>
      </c>
      <c r="AM1" s="20" t="s">
        <v>117</v>
      </c>
      <c r="AN1" s="21" t="s">
        <v>118</v>
      </c>
      <c r="AO1" s="21" t="s">
        <v>119</v>
      </c>
      <c r="AP1" s="22" t="s">
        <v>120</v>
      </c>
      <c r="AQ1" s="22" t="s">
        <v>121</v>
      </c>
      <c r="AR1" s="22" t="s">
        <v>122</v>
      </c>
      <c r="AS1" s="22" t="s">
        <v>123</v>
      </c>
      <c r="AT1" s="22" t="s">
        <v>124</v>
      </c>
      <c r="AU1" s="22" t="s">
        <v>125</v>
      </c>
      <c r="AV1" s="22" t="s">
        <v>126</v>
      </c>
    </row>
    <row r="2" ht="28.5" customHeight="1">
      <c r="A2" s="23" t="s">
        <v>127</v>
      </c>
      <c r="B2" s="24" t="s">
        <v>128</v>
      </c>
      <c r="C2" s="24" t="s">
        <v>129</v>
      </c>
      <c r="D2" s="24">
        <v>28.4089</v>
      </c>
      <c r="E2" s="24">
        <v>77.3178</v>
      </c>
      <c r="F2" s="24">
        <v>1974.0</v>
      </c>
      <c r="G2" s="24" t="s">
        <v>130</v>
      </c>
      <c r="H2" s="24">
        <v>104340.0</v>
      </c>
      <c r="I2" s="25">
        <v>29582.0</v>
      </c>
      <c r="J2" s="24">
        <f t="shared" ref="J2:J16" si="1">ROUND((I2/H2)*100,2)</f>
        <v>28.35</v>
      </c>
      <c r="K2" s="25">
        <v>74751.0</v>
      </c>
      <c r="L2" s="24">
        <f t="shared" ref="L2:L16" si="2">ROUND((K2/H2)*100,2)</f>
        <v>71.64</v>
      </c>
      <c r="M2" s="24">
        <v>52.0</v>
      </c>
      <c r="N2" s="24" t="s">
        <v>131</v>
      </c>
      <c r="O2" s="24" t="s">
        <v>132</v>
      </c>
      <c r="P2" s="25">
        <v>382577.0</v>
      </c>
      <c r="Q2" s="24">
        <v>57186.0</v>
      </c>
      <c r="R2" s="24">
        <v>439763.0</v>
      </c>
      <c r="S2" s="24">
        <v>65.0</v>
      </c>
      <c r="T2" s="26">
        <v>4334.23</v>
      </c>
      <c r="U2" s="24">
        <v>84.0</v>
      </c>
      <c r="V2" s="25">
        <v>4828552.0</v>
      </c>
      <c r="W2" s="27" t="s">
        <v>133</v>
      </c>
      <c r="X2" s="24" t="s">
        <v>134</v>
      </c>
      <c r="Y2" s="24" t="s">
        <v>135</v>
      </c>
      <c r="Z2" s="24" t="s">
        <v>64</v>
      </c>
      <c r="AA2" s="24" t="s">
        <v>136</v>
      </c>
      <c r="AB2" s="28" t="s">
        <v>136</v>
      </c>
      <c r="AC2" s="24" t="s">
        <v>137</v>
      </c>
      <c r="AD2" s="24">
        <v>50.0</v>
      </c>
      <c r="AE2" s="29"/>
      <c r="AF2" s="30">
        <v>52614.0</v>
      </c>
      <c r="AG2" s="29"/>
      <c r="AH2" s="29"/>
      <c r="AI2" s="27" t="s">
        <v>138</v>
      </c>
      <c r="AJ2" s="27" t="s">
        <v>139</v>
      </c>
      <c r="AK2" s="27" t="s">
        <v>140</v>
      </c>
      <c r="AL2" s="27" t="s">
        <v>141</v>
      </c>
      <c r="AM2" s="27" t="s">
        <v>142</v>
      </c>
      <c r="AN2" s="29">
        <f t="shared" ref="AN2:AN16" si="3">IFERROR(ROUND(R2/H2, 2), "")</f>
        <v>4.21</v>
      </c>
      <c r="AO2" s="29">
        <f t="shared" ref="AO2:AO16" si="4">IFERROR(ROUND(R2/T2, 2), "")</f>
        <v>101.46</v>
      </c>
      <c r="AP2" s="31">
        <f>ROUND(Calculations!N2,1)</f>
        <v>60.8</v>
      </c>
      <c r="AQ2" s="31">
        <f>ROUND(Calculations!Q2,1)</f>
        <v>71.6</v>
      </c>
      <c r="AR2" s="31">
        <f>ROUND(Calculations!R2,1)</f>
        <v>55</v>
      </c>
      <c r="AS2" s="31">
        <f>ROUND(Calculations!V2,1)</f>
        <v>52.5</v>
      </c>
      <c r="AT2" s="32">
        <f>ROUND(Calculations!W2,1)</f>
        <v>61.1</v>
      </c>
      <c r="AU2" s="31" t="str">
        <f>Calculations!X2</f>
        <v>BBB</v>
      </c>
      <c r="AV2" s="31">
        <f>ROUND(Calculations!Y2,0)</f>
        <v>92</v>
      </c>
    </row>
    <row r="3" ht="27.0" customHeight="1">
      <c r="A3" s="33" t="s">
        <v>143</v>
      </c>
      <c r="B3" s="33" t="s">
        <v>144</v>
      </c>
      <c r="C3" s="33" t="s">
        <v>145</v>
      </c>
      <c r="D3" s="33">
        <v>30.901</v>
      </c>
      <c r="E3" s="33">
        <v>75.8573</v>
      </c>
      <c r="F3" s="33">
        <v>1965.0</v>
      </c>
      <c r="G3" s="33" t="s">
        <v>146</v>
      </c>
      <c r="H3" s="33">
        <v>27956.0</v>
      </c>
      <c r="I3" s="33">
        <v>18345.0</v>
      </c>
      <c r="J3" s="33">
        <f t="shared" si="1"/>
        <v>65.62</v>
      </c>
      <c r="K3" s="33">
        <v>9611.0</v>
      </c>
      <c r="L3" s="33">
        <f t="shared" si="2"/>
        <v>34.38</v>
      </c>
      <c r="M3" s="33">
        <v>15.0</v>
      </c>
      <c r="N3" s="33" t="s">
        <v>147</v>
      </c>
      <c r="O3" s="33" t="s">
        <v>132</v>
      </c>
      <c r="P3" s="33">
        <v>282924.0</v>
      </c>
      <c r="Q3" s="33">
        <v>857272.48</v>
      </c>
      <c r="R3" s="33">
        <v>1140196.48</v>
      </c>
      <c r="S3" s="33">
        <v>14.46</v>
      </c>
      <c r="T3" s="33">
        <v>12928.0</v>
      </c>
      <c r="U3" s="33">
        <v>19.2</v>
      </c>
      <c r="V3" s="34">
        <v>5695455.0</v>
      </c>
      <c r="W3" s="33" t="s">
        <v>133</v>
      </c>
      <c r="X3" s="33" t="s">
        <v>148</v>
      </c>
      <c r="Y3" s="33" t="s">
        <v>135</v>
      </c>
      <c r="Z3" s="33"/>
      <c r="AA3" s="33" t="s">
        <v>136</v>
      </c>
      <c r="AB3" s="33" t="s">
        <v>136</v>
      </c>
      <c r="AC3" s="33" t="s">
        <v>137</v>
      </c>
      <c r="AD3" s="33">
        <v>28.0</v>
      </c>
      <c r="AE3" s="35"/>
      <c r="AF3" s="36">
        <v>21423.87</v>
      </c>
      <c r="AG3" s="36">
        <v>12459.58</v>
      </c>
      <c r="AH3" s="36">
        <v>1264.35</v>
      </c>
      <c r="AI3" s="33" t="s">
        <v>149</v>
      </c>
      <c r="AJ3" s="33" t="s">
        <v>150</v>
      </c>
      <c r="AK3" s="33" t="s">
        <v>151</v>
      </c>
      <c r="AL3" s="33" t="s">
        <v>152</v>
      </c>
      <c r="AM3" s="33" t="s">
        <v>153</v>
      </c>
      <c r="AN3" s="36">
        <f t="shared" si="3"/>
        <v>40.79</v>
      </c>
      <c r="AO3" s="36">
        <f t="shared" si="4"/>
        <v>88.2</v>
      </c>
      <c r="AP3" s="31">
        <f>ROUND(Calculations!N3,1)</f>
        <v>47.4</v>
      </c>
      <c r="AQ3" s="31">
        <f>ROUND(Calculations!Q3,1)</f>
        <v>34.4</v>
      </c>
      <c r="AR3" s="31">
        <f>ROUND(Calculations!R3,1)</f>
        <v>100</v>
      </c>
      <c r="AS3" s="31">
        <f>ROUND(Calculations!V3,1)</f>
        <v>30</v>
      </c>
      <c r="AT3" s="32">
        <f>ROUND(Calculations!W3,1)</f>
        <v>52.1</v>
      </c>
      <c r="AU3" s="31" t="str">
        <f>Calculations!X3</f>
        <v>BB</v>
      </c>
      <c r="AV3" s="31">
        <f>ROUND(Calculations!Y3,0)</f>
        <v>83</v>
      </c>
    </row>
    <row r="4" ht="42.0" customHeight="1">
      <c r="A4" s="23" t="s">
        <v>154</v>
      </c>
      <c r="B4" s="37" t="s">
        <v>155</v>
      </c>
      <c r="C4" s="37" t="s">
        <v>156</v>
      </c>
      <c r="D4" s="37">
        <v>23.0225</v>
      </c>
      <c r="E4" s="37">
        <v>72.5714</v>
      </c>
      <c r="F4" s="37">
        <v>1931.0</v>
      </c>
      <c r="G4" s="37" t="s">
        <v>146</v>
      </c>
      <c r="H4" s="37">
        <v>33311.0</v>
      </c>
      <c r="I4" s="37">
        <v>23280.0</v>
      </c>
      <c r="J4" s="24">
        <f t="shared" si="1"/>
        <v>69.89</v>
      </c>
      <c r="K4" s="24">
        <v>10031.0</v>
      </c>
      <c r="L4" s="24">
        <f t="shared" si="2"/>
        <v>30.11</v>
      </c>
      <c r="M4" s="37">
        <v>12.0</v>
      </c>
      <c r="N4" s="37" t="s">
        <v>157</v>
      </c>
      <c r="O4" s="37" t="s">
        <v>158</v>
      </c>
      <c r="P4" s="37">
        <v>253283.0</v>
      </c>
      <c r="Q4" s="37">
        <v>190808.0</v>
      </c>
      <c r="R4" s="37">
        <v>444091.0</v>
      </c>
      <c r="S4" s="37">
        <v>37.0</v>
      </c>
      <c r="T4" s="37">
        <v>6187.58</v>
      </c>
      <c r="U4" s="37"/>
      <c r="V4" s="38">
        <v>2645994.0</v>
      </c>
      <c r="W4" s="37">
        <v>83.33</v>
      </c>
      <c r="X4" s="37" t="s">
        <v>159</v>
      </c>
      <c r="Y4" s="37" t="s">
        <v>160</v>
      </c>
      <c r="Z4" s="37"/>
      <c r="AA4" s="37" t="s">
        <v>136</v>
      </c>
      <c r="AB4" s="37" t="s">
        <v>136</v>
      </c>
      <c r="AC4" s="37" t="s">
        <v>137</v>
      </c>
      <c r="AD4" s="37">
        <v>37.0</v>
      </c>
      <c r="AE4" s="39">
        <v>12000.0</v>
      </c>
      <c r="AF4" s="37">
        <v>34493.0</v>
      </c>
      <c r="AG4" s="38">
        <v>11765.0</v>
      </c>
      <c r="AH4" s="37">
        <v>762.2</v>
      </c>
      <c r="AI4" s="27" t="s">
        <v>161</v>
      </c>
      <c r="AJ4" s="27" t="s">
        <v>162</v>
      </c>
      <c r="AK4" s="27" t="s">
        <v>163</v>
      </c>
      <c r="AL4" s="27" t="s">
        <v>164</v>
      </c>
      <c r="AM4" s="27" t="s">
        <v>165</v>
      </c>
      <c r="AN4" s="29">
        <f t="shared" si="3"/>
        <v>13.33</v>
      </c>
      <c r="AO4" s="29">
        <f t="shared" si="4"/>
        <v>71.77</v>
      </c>
      <c r="AP4" s="31">
        <f>ROUND(Calculations!N4,1)</f>
        <v>66.5</v>
      </c>
      <c r="AQ4" s="31">
        <f>ROUND(Calculations!Q4,1)</f>
        <v>65.1</v>
      </c>
      <c r="AR4" s="31">
        <f>ROUND(Calculations!R4,1)</f>
        <v>100</v>
      </c>
      <c r="AS4" s="31">
        <f>ROUND(Calculations!V4,1)</f>
        <v>50</v>
      </c>
      <c r="AT4" s="32">
        <f>ROUND(Calculations!W4,1)</f>
        <v>70.4</v>
      </c>
      <c r="AU4" s="31" t="str">
        <f>Calculations!X4</f>
        <v>A</v>
      </c>
      <c r="AV4" s="31">
        <f>ROUND(Calculations!Y4,0)</f>
        <v>92</v>
      </c>
    </row>
    <row r="5" ht="48.0" customHeight="1">
      <c r="A5" s="33" t="s">
        <v>166</v>
      </c>
      <c r="B5" s="33" t="s">
        <v>167</v>
      </c>
      <c r="C5" s="33" t="s">
        <v>145</v>
      </c>
      <c r="D5" s="33">
        <v>30.3819</v>
      </c>
      <c r="E5" s="33">
        <v>75.5468</v>
      </c>
      <c r="F5" s="33">
        <v>1990.0</v>
      </c>
      <c r="G5" s="33" t="s">
        <v>146</v>
      </c>
      <c r="H5" s="33">
        <v>15647.0</v>
      </c>
      <c r="I5" s="33">
        <v>12850.0</v>
      </c>
      <c r="J5" s="33">
        <f t="shared" si="1"/>
        <v>82.12</v>
      </c>
      <c r="K5" s="33">
        <v>2797.0</v>
      </c>
      <c r="L5" s="33">
        <f t="shared" si="2"/>
        <v>17.88</v>
      </c>
      <c r="M5" s="33">
        <v>15.0</v>
      </c>
      <c r="N5" s="33" t="s">
        <v>168</v>
      </c>
      <c r="O5" s="33" t="s">
        <v>132</v>
      </c>
      <c r="P5" s="40">
        <v>671774.0</v>
      </c>
      <c r="Q5" s="33">
        <v>347698.0</v>
      </c>
      <c r="R5" s="40">
        <v>1019472.0</v>
      </c>
      <c r="S5" s="33">
        <v>34.9</v>
      </c>
      <c r="T5" s="33">
        <v>10157.0</v>
      </c>
      <c r="U5" s="33">
        <v>40.9</v>
      </c>
      <c r="V5" s="40">
        <v>1.3724529E7</v>
      </c>
      <c r="W5" s="33" t="s">
        <v>133</v>
      </c>
      <c r="X5" s="33" t="s">
        <v>159</v>
      </c>
      <c r="Y5" s="33" t="s">
        <v>169</v>
      </c>
      <c r="Z5" s="33"/>
      <c r="AA5" s="33" t="s">
        <v>136</v>
      </c>
      <c r="AB5" s="41" t="s">
        <v>136</v>
      </c>
      <c r="AC5" s="33" t="s">
        <v>137</v>
      </c>
      <c r="AD5" s="33">
        <v>38.5</v>
      </c>
      <c r="AE5" s="36"/>
      <c r="AF5" s="33">
        <v>251613.0</v>
      </c>
      <c r="AG5" s="33">
        <v>4841.0</v>
      </c>
      <c r="AH5" s="33">
        <v>606.0</v>
      </c>
      <c r="AI5" s="33" t="s">
        <v>170</v>
      </c>
      <c r="AJ5" s="33" t="s">
        <v>171</v>
      </c>
      <c r="AK5" s="33" t="s">
        <v>172</v>
      </c>
      <c r="AL5" s="33" t="s">
        <v>173</v>
      </c>
      <c r="AM5" s="33" t="s">
        <v>174</v>
      </c>
      <c r="AN5" s="36">
        <f t="shared" si="3"/>
        <v>65.15</v>
      </c>
      <c r="AO5" s="36">
        <f t="shared" si="4"/>
        <v>100.37</v>
      </c>
      <c r="AP5" s="31">
        <f>ROUND(Calculations!N5,1)</f>
        <v>53</v>
      </c>
      <c r="AQ5" s="31">
        <f>ROUND(Calculations!Q5,1)</f>
        <v>17.9</v>
      </c>
      <c r="AR5" s="31">
        <f>ROUND(Calculations!R5,1)</f>
        <v>100</v>
      </c>
      <c r="AS5" s="31">
        <f>ROUND(Calculations!V5,1)</f>
        <v>92</v>
      </c>
      <c r="AT5" s="32">
        <f>ROUND(Calculations!W5,1)</f>
        <v>59.5</v>
      </c>
      <c r="AU5" s="31" t="str">
        <f>Calculations!X5</f>
        <v>BB</v>
      </c>
      <c r="AV5" s="31">
        <f>ROUND(Calculations!Y5,0)</f>
        <v>83</v>
      </c>
    </row>
    <row r="6" ht="34.5" customHeight="1">
      <c r="A6" s="23" t="s">
        <v>175</v>
      </c>
      <c r="B6" s="27" t="s">
        <v>176</v>
      </c>
      <c r="C6" s="27" t="s">
        <v>177</v>
      </c>
      <c r="D6" s="27">
        <v>11.0168</v>
      </c>
      <c r="E6" s="27">
        <v>76.9558</v>
      </c>
      <c r="F6" s="27">
        <v>2003.0</v>
      </c>
      <c r="G6" s="27" t="s">
        <v>146</v>
      </c>
      <c r="H6" s="27">
        <v>20774.0</v>
      </c>
      <c r="I6" s="27">
        <v>3403.0</v>
      </c>
      <c r="J6" s="24">
        <f t="shared" si="1"/>
        <v>16.38</v>
      </c>
      <c r="K6" s="42">
        <v>17371.0</v>
      </c>
      <c r="L6" s="24">
        <f t="shared" si="2"/>
        <v>83.62</v>
      </c>
      <c r="M6" s="27">
        <v>12.0</v>
      </c>
      <c r="N6" s="27" t="s">
        <v>147</v>
      </c>
      <c r="O6" s="27" t="s">
        <v>132</v>
      </c>
      <c r="P6" s="27">
        <v>59833.96</v>
      </c>
      <c r="Q6" s="43">
        <v>161703.12</v>
      </c>
      <c r="R6" s="43">
        <v>221537.08</v>
      </c>
      <c r="S6" s="27">
        <v>24.1</v>
      </c>
      <c r="T6" s="27">
        <v>1741.85</v>
      </c>
      <c r="U6" s="27">
        <v>34.0</v>
      </c>
      <c r="V6" s="27">
        <v>1842246.63</v>
      </c>
      <c r="W6" s="27">
        <v>100.0</v>
      </c>
      <c r="X6" s="27" t="s">
        <v>178</v>
      </c>
      <c r="Y6" s="27" t="s">
        <v>135</v>
      </c>
      <c r="Z6" s="27"/>
      <c r="AA6" s="27" t="s">
        <v>136</v>
      </c>
      <c r="AB6" s="27" t="s">
        <v>136</v>
      </c>
      <c r="AC6" s="27" t="s">
        <v>137</v>
      </c>
      <c r="AD6" s="27">
        <v>40.0</v>
      </c>
      <c r="AE6" s="27"/>
      <c r="AF6" s="27">
        <v>1828.4</v>
      </c>
      <c r="AG6" s="27">
        <v>79.8</v>
      </c>
      <c r="AH6" s="27">
        <v>22.8</v>
      </c>
      <c r="AI6" s="27" t="s">
        <v>179</v>
      </c>
      <c r="AJ6" s="27" t="s">
        <v>133</v>
      </c>
      <c r="AK6" s="27" t="s">
        <v>180</v>
      </c>
      <c r="AL6" s="27" t="s">
        <v>181</v>
      </c>
      <c r="AM6" s="27" t="s">
        <v>182</v>
      </c>
      <c r="AN6" s="29">
        <f t="shared" si="3"/>
        <v>10.66</v>
      </c>
      <c r="AO6" s="29">
        <f t="shared" si="4"/>
        <v>127.18</v>
      </c>
      <c r="AP6" s="31">
        <f>ROUND(Calculations!N6,1)</f>
        <v>56.6</v>
      </c>
      <c r="AQ6" s="31">
        <f>ROUND(Calculations!Q6,1)</f>
        <v>83.6</v>
      </c>
      <c r="AR6" s="31">
        <f>ROUND(Calculations!R6,1)</f>
        <v>100</v>
      </c>
      <c r="AS6" s="31">
        <f>ROUND(Calculations!V6,1)</f>
        <v>30</v>
      </c>
      <c r="AT6" s="32">
        <f>ROUND(Calculations!W6,1)</f>
        <v>68</v>
      </c>
      <c r="AU6" s="31" t="str">
        <f>Calculations!X6</f>
        <v>BBB</v>
      </c>
      <c r="AV6" s="31">
        <f>ROUND(Calculations!Y6,0)</f>
        <v>83</v>
      </c>
    </row>
    <row r="7" ht="36.75" customHeight="1">
      <c r="A7" s="33" t="s">
        <v>183</v>
      </c>
      <c r="B7" s="41" t="s">
        <v>184</v>
      </c>
      <c r="C7" s="41" t="s">
        <v>185</v>
      </c>
      <c r="D7" s="41">
        <v>12.9716</v>
      </c>
      <c r="E7" s="41">
        <v>77.5946</v>
      </c>
      <c r="F7" s="41">
        <v>1994.0</v>
      </c>
      <c r="G7" s="41" t="s">
        <v>146</v>
      </c>
      <c r="H7" s="41">
        <v>20658.0</v>
      </c>
      <c r="I7" s="41">
        <v>4271.0</v>
      </c>
      <c r="J7" s="33">
        <f t="shared" si="1"/>
        <v>20.67</v>
      </c>
      <c r="K7" s="41">
        <v>16387.0</v>
      </c>
      <c r="L7" s="33">
        <f t="shared" si="2"/>
        <v>79.33</v>
      </c>
      <c r="M7" s="41">
        <v>23.0</v>
      </c>
      <c r="N7" s="41" t="s">
        <v>186</v>
      </c>
      <c r="O7" s="41" t="s">
        <v>158</v>
      </c>
      <c r="P7" s="41">
        <v>993.0</v>
      </c>
      <c r="Q7" s="41">
        <v>11945.0</v>
      </c>
      <c r="R7" s="41">
        <v>12938.0</v>
      </c>
      <c r="S7" s="41">
        <v>33.0</v>
      </c>
      <c r="T7" s="41">
        <v>108.71</v>
      </c>
      <c r="U7" s="41">
        <v>0.0</v>
      </c>
      <c r="V7" s="41">
        <v>175630.0</v>
      </c>
      <c r="W7" s="41">
        <v>50.0</v>
      </c>
      <c r="X7" s="41" t="s">
        <v>178</v>
      </c>
      <c r="Y7" s="41" t="s">
        <v>160</v>
      </c>
      <c r="Z7" s="41"/>
      <c r="AA7" s="41" t="s">
        <v>136</v>
      </c>
      <c r="AB7" s="41" t="s">
        <v>187</v>
      </c>
      <c r="AC7" s="41" t="s">
        <v>137</v>
      </c>
      <c r="AD7" s="41">
        <v>82.0</v>
      </c>
      <c r="AE7" s="44"/>
      <c r="AF7" s="41">
        <v>6204.84</v>
      </c>
      <c r="AG7" s="41">
        <v>68.09</v>
      </c>
      <c r="AH7" s="41">
        <v>1308.0</v>
      </c>
      <c r="AI7" s="33" t="s">
        <v>188</v>
      </c>
      <c r="AJ7" s="33" t="s">
        <v>189</v>
      </c>
      <c r="AK7" s="33" t="s">
        <v>190</v>
      </c>
      <c r="AL7" s="33" t="s">
        <v>191</v>
      </c>
      <c r="AM7" s="33" t="s">
        <v>192</v>
      </c>
      <c r="AN7" s="36">
        <f t="shared" si="3"/>
        <v>0.63</v>
      </c>
      <c r="AO7" s="36">
        <f t="shared" si="4"/>
        <v>119.01</v>
      </c>
      <c r="AP7" s="31">
        <f>ROUND(Calculations!N7,1)</f>
        <v>64.9</v>
      </c>
      <c r="AQ7" s="31">
        <f>ROUND(Calculations!Q7,1)</f>
        <v>79.3</v>
      </c>
      <c r="AR7" s="31">
        <f>ROUND(Calculations!R7,1)</f>
        <v>100</v>
      </c>
      <c r="AS7" s="31">
        <f>ROUND(Calculations!V7,1)</f>
        <v>80</v>
      </c>
      <c r="AT7" s="32">
        <f>ROUND(Calculations!W7,1)</f>
        <v>77.8</v>
      </c>
      <c r="AU7" s="31" t="str">
        <f>Calculations!X7</f>
        <v>A</v>
      </c>
      <c r="AV7" s="31">
        <f>ROUND(Calculations!Y7,0)</f>
        <v>83</v>
      </c>
    </row>
    <row r="8" ht="39.0" customHeight="1">
      <c r="A8" s="45" t="s">
        <v>193</v>
      </c>
      <c r="B8" s="46" t="s">
        <v>194</v>
      </c>
      <c r="C8" s="46" t="s">
        <v>195</v>
      </c>
      <c r="D8" s="46">
        <v>18.922</v>
      </c>
      <c r="E8" s="46">
        <v>72.8231</v>
      </c>
      <c r="F8" s="46">
        <v>1988.0</v>
      </c>
      <c r="G8" s="46" t="s">
        <v>146</v>
      </c>
      <c r="H8" s="46">
        <v>7442.0</v>
      </c>
      <c r="I8" s="46">
        <v>6324.0</v>
      </c>
      <c r="J8" s="24">
        <f t="shared" si="1"/>
        <v>84.98</v>
      </c>
      <c r="K8" s="46">
        <v>1118.0</v>
      </c>
      <c r="L8" s="24">
        <f t="shared" si="2"/>
        <v>15.02</v>
      </c>
      <c r="M8" s="46">
        <v>7.0</v>
      </c>
      <c r="N8" s="46" t="s">
        <v>196</v>
      </c>
      <c r="O8" s="46" t="s">
        <v>132</v>
      </c>
      <c r="P8" s="46">
        <v>185243.0</v>
      </c>
      <c r="Q8" s="46">
        <v>105108.0</v>
      </c>
      <c r="R8" s="46">
        <v>290351.0</v>
      </c>
      <c r="S8" s="47"/>
      <c r="T8" s="46"/>
      <c r="U8" s="46">
        <v>9.3</v>
      </c>
      <c r="V8" s="46"/>
      <c r="W8" s="46">
        <v>25.0</v>
      </c>
      <c r="X8" s="46" t="s">
        <v>159</v>
      </c>
      <c r="Y8" s="46" t="s">
        <v>197</v>
      </c>
      <c r="Z8" s="46" t="s">
        <v>64</v>
      </c>
      <c r="AA8" s="46" t="s">
        <v>136</v>
      </c>
      <c r="AB8" s="28" t="s">
        <v>136</v>
      </c>
      <c r="AC8" s="46" t="s">
        <v>137</v>
      </c>
      <c r="AD8" s="46">
        <v>22.0</v>
      </c>
      <c r="AE8" s="46">
        <v>35805.0</v>
      </c>
      <c r="AF8" s="46" t="s">
        <v>133</v>
      </c>
      <c r="AG8" s="46" t="s">
        <v>133</v>
      </c>
      <c r="AH8" s="46" t="s">
        <v>133</v>
      </c>
      <c r="AI8" s="27" t="s">
        <v>198</v>
      </c>
      <c r="AJ8" s="27" t="s">
        <v>199</v>
      </c>
      <c r="AK8" s="27" t="s">
        <v>200</v>
      </c>
      <c r="AL8" s="27" t="s">
        <v>201</v>
      </c>
      <c r="AM8" s="27"/>
      <c r="AN8" s="29">
        <f t="shared" si="3"/>
        <v>39.02</v>
      </c>
      <c r="AO8" s="29" t="str">
        <f t="shared" si="4"/>
        <v/>
      </c>
      <c r="AP8" s="31">
        <f>ROUND(Calculations!N8,1)</f>
        <v>54.9</v>
      </c>
      <c r="AQ8" s="31">
        <f>ROUND(Calculations!Q8,1)</f>
        <v>57.5</v>
      </c>
      <c r="AR8" s="31">
        <f>ROUND(Calculations!R8,1)</f>
        <v>100</v>
      </c>
      <c r="AS8" s="31">
        <f>ROUND(Calculations!V8,1)</f>
        <v>70</v>
      </c>
      <c r="AT8" s="32">
        <f>ROUND(Calculations!W8,1)</f>
        <v>66.8</v>
      </c>
      <c r="AU8" s="31" t="str">
        <f>Calculations!X8</f>
        <v>BBB</v>
      </c>
      <c r="AV8" s="31">
        <f>ROUND(Calculations!Y8,0)</f>
        <v>75</v>
      </c>
    </row>
    <row r="9" ht="47.25" customHeight="1">
      <c r="A9" s="33" t="s">
        <v>202</v>
      </c>
      <c r="B9" s="41" t="s">
        <v>203</v>
      </c>
      <c r="C9" s="41" t="s">
        <v>129</v>
      </c>
      <c r="D9" s="41">
        <v>28.4595</v>
      </c>
      <c r="E9" s="41">
        <v>77.0266</v>
      </c>
      <c r="F9" s="41">
        <v>1989.0</v>
      </c>
      <c r="G9" s="41" t="s">
        <v>146</v>
      </c>
      <c r="H9" s="41">
        <v>10913.0</v>
      </c>
      <c r="I9" s="41">
        <v>5039.0</v>
      </c>
      <c r="J9" s="33">
        <f t="shared" si="1"/>
        <v>46.17</v>
      </c>
      <c r="K9" s="41">
        <v>5874.0</v>
      </c>
      <c r="L9" s="33">
        <f t="shared" si="2"/>
        <v>53.83</v>
      </c>
      <c r="M9" s="41">
        <v>10.0</v>
      </c>
      <c r="N9" s="41" t="s">
        <v>147</v>
      </c>
      <c r="O9" s="41" t="s">
        <v>132</v>
      </c>
      <c r="P9" s="41">
        <v>25.77</v>
      </c>
      <c r="Q9" s="41">
        <v>7170.84</v>
      </c>
      <c r="R9" s="41">
        <v>7196.61</v>
      </c>
      <c r="S9" s="41"/>
      <c r="T9" s="41">
        <v>28.62</v>
      </c>
      <c r="U9" s="41"/>
      <c r="V9" s="41">
        <v>132734.0</v>
      </c>
      <c r="W9" s="33" t="s">
        <v>133</v>
      </c>
      <c r="X9" s="41" t="s">
        <v>134</v>
      </c>
      <c r="Y9" s="41" t="s">
        <v>135</v>
      </c>
      <c r="Z9" s="41"/>
      <c r="AA9" s="41" t="s">
        <v>136</v>
      </c>
      <c r="AB9" s="41" t="s">
        <v>136</v>
      </c>
      <c r="AC9" s="41" t="s">
        <v>137</v>
      </c>
      <c r="AD9" s="41">
        <v>24.0</v>
      </c>
      <c r="AE9" s="44"/>
      <c r="AF9" s="41">
        <v>1755.49</v>
      </c>
      <c r="AG9" s="41">
        <v>0.87</v>
      </c>
      <c r="AH9" s="41">
        <v>43.31</v>
      </c>
      <c r="AI9" s="33" t="s">
        <v>204</v>
      </c>
      <c r="AJ9" s="33" t="s">
        <v>133</v>
      </c>
      <c r="AK9" s="33" t="s">
        <v>205</v>
      </c>
      <c r="AL9" s="33" t="s">
        <v>206</v>
      </c>
      <c r="AM9" s="33" t="s">
        <v>207</v>
      </c>
      <c r="AN9" s="36">
        <f t="shared" si="3"/>
        <v>0.66</v>
      </c>
      <c r="AO9" s="36">
        <f t="shared" si="4"/>
        <v>251.45</v>
      </c>
      <c r="AP9" s="31">
        <f>ROUND(Calculations!N9,1)</f>
        <v>56.4</v>
      </c>
      <c r="AQ9" s="31">
        <f>ROUND(Calculations!Q9,1)</f>
        <v>53.8</v>
      </c>
      <c r="AR9" s="31">
        <f>ROUND(Calculations!R9,1)</f>
        <v>100</v>
      </c>
      <c r="AS9" s="31">
        <f>ROUND(Calculations!V9,1)</f>
        <v>30</v>
      </c>
      <c r="AT9" s="32">
        <f>ROUND(Calculations!W9,1)</f>
        <v>60.5</v>
      </c>
      <c r="AU9" s="31" t="str">
        <f>Calculations!X9</f>
        <v>BBB</v>
      </c>
      <c r="AV9" s="31">
        <f>ROUND(Calculations!Y9,0)</f>
        <v>75</v>
      </c>
    </row>
    <row r="10" ht="34.5" customHeight="1">
      <c r="A10" s="23" t="s">
        <v>208</v>
      </c>
      <c r="B10" s="48" t="s">
        <v>195</v>
      </c>
      <c r="C10" s="48" t="s">
        <v>194</v>
      </c>
      <c r="D10" s="48">
        <v>18.9733</v>
      </c>
      <c r="E10" s="48">
        <v>72.8237</v>
      </c>
      <c r="F10" s="48">
        <v>1985.0</v>
      </c>
      <c r="G10" s="48" t="s">
        <v>146</v>
      </c>
      <c r="H10" s="48">
        <v>27719.0</v>
      </c>
      <c r="I10" s="48">
        <v>20128.0</v>
      </c>
      <c r="J10" s="24">
        <f t="shared" si="1"/>
        <v>72.61</v>
      </c>
      <c r="K10" s="48">
        <v>7591.0</v>
      </c>
      <c r="L10" s="24">
        <f t="shared" si="2"/>
        <v>27.39</v>
      </c>
      <c r="M10" s="48">
        <v>4.0</v>
      </c>
      <c r="N10" s="48" t="s">
        <v>209</v>
      </c>
      <c r="O10" s="48" t="s">
        <v>158</v>
      </c>
      <c r="P10" s="48">
        <v>256451.0</v>
      </c>
      <c r="Q10" s="48">
        <v>465706.0</v>
      </c>
      <c r="R10" s="48">
        <v>722157.0</v>
      </c>
      <c r="S10" s="48">
        <v>30.54</v>
      </c>
      <c r="T10" s="48">
        <v>6361.34</v>
      </c>
      <c r="U10" s="48">
        <v>38.1</v>
      </c>
      <c r="V10" s="48">
        <v>5036970.0</v>
      </c>
      <c r="W10" s="48" t="s">
        <v>133</v>
      </c>
      <c r="X10" s="48" t="s">
        <v>159</v>
      </c>
      <c r="Y10" s="48" t="s">
        <v>197</v>
      </c>
      <c r="Z10" s="48" t="s">
        <v>64</v>
      </c>
      <c r="AA10" s="48" t="s">
        <v>136</v>
      </c>
      <c r="AB10" s="48" t="s">
        <v>210</v>
      </c>
      <c r="AC10" s="48" t="s">
        <v>137</v>
      </c>
      <c r="AD10" s="48">
        <v>76.0</v>
      </c>
      <c r="AE10" s="49">
        <v>29528.0</v>
      </c>
      <c r="AF10" s="48">
        <v>31517.0</v>
      </c>
      <c r="AG10" s="48">
        <v>1060.0</v>
      </c>
      <c r="AH10" s="48">
        <v>484.0</v>
      </c>
      <c r="AI10" s="27" t="s">
        <v>211</v>
      </c>
      <c r="AJ10" s="27" t="s">
        <v>212</v>
      </c>
      <c r="AK10" s="27" t="s">
        <v>213</v>
      </c>
      <c r="AL10" s="27" t="s">
        <v>214</v>
      </c>
      <c r="AM10" s="27" t="s">
        <v>215</v>
      </c>
      <c r="AN10" s="29">
        <f t="shared" si="3"/>
        <v>26.05</v>
      </c>
      <c r="AO10" s="29">
        <f t="shared" si="4"/>
        <v>113.52</v>
      </c>
      <c r="AP10" s="31">
        <f>ROUND(Calculations!N10,1)</f>
        <v>69.7</v>
      </c>
      <c r="AQ10" s="31">
        <f>ROUND(Calculations!Q10,1)</f>
        <v>63.7</v>
      </c>
      <c r="AR10" s="31">
        <f>ROUND(Calculations!R10,1)</f>
        <v>100</v>
      </c>
      <c r="AS10" s="31">
        <f>ROUND(Calculations!V10,1)</f>
        <v>83.5</v>
      </c>
      <c r="AT10" s="32">
        <f>ROUND(Calculations!W10,1)</f>
        <v>76.3</v>
      </c>
      <c r="AU10" s="31" t="str">
        <f>Calculations!X10</f>
        <v>A</v>
      </c>
      <c r="AV10" s="31">
        <f>ROUND(Calculations!Y10,0)</f>
        <v>100</v>
      </c>
    </row>
    <row r="11" ht="45.75" customHeight="1">
      <c r="A11" s="33" t="s">
        <v>216</v>
      </c>
      <c r="B11" s="36" t="s">
        <v>195</v>
      </c>
      <c r="C11" s="36" t="s">
        <v>194</v>
      </c>
      <c r="D11" s="36">
        <v>19.076</v>
      </c>
      <c r="E11" s="36">
        <v>72.8777</v>
      </c>
      <c r="F11" s="36">
        <v>1978.0</v>
      </c>
      <c r="G11" s="36" t="s">
        <v>146</v>
      </c>
      <c r="H11" s="36">
        <v>4103.0</v>
      </c>
      <c r="I11" s="36">
        <v>3339.0</v>
      </c>
      <c r="J11" s="33">
        <f t="shared" si="1"/>
        <v>81.38</v>
      </c>
      <c r="K11" s="36">
        <v>764.0</v>
      </c>
      <c r="L11" s="33">
        <f t="shared" si="2"/>
        <v>18.62</v>
      </c>
      <c r="M11" s="36">
        <v>13.0</v>
      </c>
      <c r="N11" s="36" t="s">
        <v>217</v>
      </c>
      <c r="O11" s="36" t="s">
        <v>158</v>
      </c>
      <c r="P11" s="36">
        <v>50927.0</v>
      </c>
      <c r="Q11" s="36">
        <v>38875.0</v>
      </c>
      <c r="R11" s="36">
        <v>89802.0</v>
      </c>
      <c r="S11" s="36">
        <v>1.66</v>
      </c>
      <c r="T11" s="36">
        <v>1085.12</v>
      </c>
      <c r="U11" s="36">
        <v>5.392</v>
      </c>
      <c r="V11" s="36">
        <v>297892.0</v>
      </c>
      <c r="W11" s="33" t="s">
        <v>133</v>
      </c>
      <c r="X11" s="36" t="s">
        <v>178</v>
      </c>
      <c r="Y11" s="36" t="s">
        <v>135</v>
      </c>
      <c r="Z11" s="36"/>
      <c r="AA11" s="36" t="s">
        <v>136</v>
      </c>
      <c r="AB11" s="36" t="s">
        <v>136</v>
      </c>
      <c r="AC11" s="36" t="s">
        <v>137</v>
      </c>
      <c r="AD11" s="36">
        <v>41.45</v>
      </c>
      <c r="AE11" s="36"/>
      <c r="AF11" s="36">
        <v>5507.59</v>
      </c>
      <c r="AG11" s="36"/>
      <c r="AH11" s="36">
        <v>100.14</v>
      </c>
      <c r="AI11" s="33" t="s">
        <v>218</v>
      </c>
      <c r="AJ11" s="33" t="s">
        <v>219</v>
      </c>
      <c r="AK11" s="33" t="s">
        <v>220</v>
      </c>
      <c r="AL11" s="33" t="s">
        <v>221</v>
      </c>
      <c r="AM11" s="33" t="s">
        <v>222</v>
      </c>
      <c r="AN11" s="36">
        <f t="shared" si="3"/>
        <v>21.89</v>
      </c>
      <c r="AO11" s="36">
        <f t="shared" si="4"/>
        <v>82.76</v>
      </c>
      <c r="AP11" s="31">
        <f>ROUND(Calculations!N11,1)</f>
        <v>53.5</v>
      </c>
      <c r="AQ11" s="31">
        <f>ROUND(Calculations!Q11,1)</f>
        <v>18.6</v>
      </c>
      <c r="AR11" s="31">
        <f>ROUND(Calculations!R11,1)</f>
        <v>100</v>
      </c>
      <c r="AS11" s="31">
        <f>ROUND(Calculations!V11,1)</f>
        <v>30</v>
      </c>
      <c r="AT11" s="32">
        <f>ROUND(Calculations!W11,1)</f>
        <v>50.5</v>
      </c>
      <c r="AU11" s="31" t="str">
        <f>Calculations!X11</f>
        <v>BB</v>
      </c>
      <c r="AV11" s="31">
        <f>ROUND(Calculations!Y11,0)</f>
        <v>83</v>
      </c>
    </row>
    <row r="12" ht="45.75" customHeight="1">
      <c r="A12" s="23" t="s">
        <v>223</v>
      </c>
      <c r="B12" s="50" t="s">
        <v>155</v>
      </c>
      <c r="C12" s="50" t="s">
        <v>156</v>
      </c>
      <c r="D12" s="50">
        <v>23.0225</v>
      </c>
      <c r="E12" s="50">
        <v>72.5714</v>
      </c>
      <c r="F12" s="50">
        <v>1986.0</v>
      </c>
      <c r="G12" s="50" t="s">
        <v>146</v>
      </c>
      <c r="H12" s="50">
        <v>1412.0</v>
      </c>
      <c r="I12" s="50">
        <v>1393.0</v>
      </c>
      <c r="J12" s="24">
        <f t="shared" si="1"/>
        <v>98.65</v>
      </c>
      <c r="K12" s="50">
        <v>19.0</v>
      </c>
      <c r="L12" s="24">
        <f t="shared" si="2"/>
        <v>1.35</v>
      </c>
      <c r="M12" s="50">
        <v>5.0</v>
      </c>
      <c r="N12" s="50" t="s">
        <v>147</v>
      </c>
      <c r="O12" s="50" t="s">
        <v>158</v>
      </c>
      <c r="P12" s="50">
        <v>147112.96</v>
      </c>
      <c r="Q12" s="50">
        <v>1076.67</v>
      </c>
      <c r="R12" s="50">
        <v>148189.63</v>
      </c>
      <c r="S12" s="50">
        <v>0.71</v>
      </c>
      <c r="T12" s="50">
        <v>181.46</v>
      </c>
      <c r="U12" s="50"/>
      <c r="V12" s="50">
        <v>99137.0</v>
      </c>
      <c r="W12" s="51">
        <v>0.0</v>
      </c>
      <c r="X12" s="50" t="s">
        <v>178</v>
      </c>
      <c r="Y12" s="50" t="s">
        <v>133</v>
      </c>
      <c r="Z12" s="50" t="s">
        <v>133</v>
      </c>
      <c r="AA12" s="50" t="s">
        <v>187</v>
      </c>
      <c r="AB12" s="50" t="s">
        <v>136</v>
      </c>
      <c r="AC12" s="50" t="s">
        <v>137</v>
      </c>
      <c r="AD12" s="50">
        <v>0.0</v>
      </c>
      <c r="AE12" s="50"/>
      <c r="AF12" s="50">
        <v>207.81</v>
      </c>
      <c r="AG12" s="50">
        <v>182.06</v>
      </c>
      <c r="AH12" s="50">
        <v>6.37</v>
      </c>
      <c r="AI12" s="27" t="s">
        <v>133</v>
      </c>
      <c r="AJ12" s="27" t="s">
        <v>224</v>
      </c>
      <c r="AK12" s="27" t="s">
        <v>225</v>
      </c>
      <c r="AL12" s="27" t="s">
        <v>226</v>
      </c>
      <c r="AM12" s="27" t="s">
        <v>227</v>
      </c>
      <c r="AN12" s="29">
        <f t="shared" si="3"/>
        <v>104.95</v>
      </c>
      <c r="AO12" s="29">
        <f t="shared" si="4"/>
        <v>816.65</v>
      </c>
      <c r="AP12" s="31">
        <f>ROUND(Calculations!N12,1)</f>
        <v>46.9</v>
      </c>
      <c r="AQ12" s="31">
        <f>ROUND(Calculations!Q12,1)</f>
        <v>1.4</v>
      </c>
      <c r="AR12" s="31">
        <f>ROUND(Calculations!R12,1)</f>
        <v>100</v>
      </c>
      <c r="AS12" s="31">
        <f>ROUND(Calculations!V12,1)</f>
        <v>15</v>
      </c>
      <c r="AT12" s="32">
        <f>ROUND(Calculations!W12,1)</f>
        <v>41.4</v>
      </c>
      <c r="AU12" s="31" t="str">
        <f>Calculations!X12</f>
        <v>B</v>
      </c>
      <c r="AV12" s="31">
        <f>ROUND(Calculations!Y12,0)</f>
        <v>92</v>
      </c>
    </row>
    <row r="13">
      <c r="A13" s="33" t="s">
        <v>228</v>
      </c>
      <c r="B13" s="44" t="s">
        <v>195</v>
      </c>
      <c r="C13" s="44" t="s">
        <v>194</v>
      </c>
      <c r="D13" s="44">
        <v>19.0178</v>
      </c>
      <c r="E13" s="44">
        <v>72.8478</v>
      </c>
      <c r="F13" s="44">
        <v>1947.0</v>
      </c>
      <c r="G13" s="44" t="s">
        <v>146</v>
      </c>
      <c r="H13" s="44">
        <v>55257.0</v>
      </c>
      <c r="I13" s="44">
        <v>52605.0</v>
      </c>
      <c r="J13" s="33">
        <f t="shared" si="1"/>
        <v>95.2</v>
      </c>
      <c r="K13" s="44">
        <v>2652.0</v>
      </c>
      <c r="L13" s="33">
        <f t="shared" si="2"/>
        <v>4.8</v>
      </c>
      <c r="M13" s="44">
        <v>25.0</v>
      </c>
      <c r="N13" s="44" t="s">
        <v>229</v>
      </c>
      <c r="O13" s="44" t="s">
        <v>158</v>
      </c>
      <c r="P13" s="44">
        <v>8.6219949E7</v>
      </c>
      <c r="Q13" s="44">
        <v>3095951.0</v>
      </c>
      <c r="R13" s="44">
        <v>8.93159E7</v>
      </c>
      <c r="S13" s="44">
        <v>6.5</v>
      </c>
      <c r="T13" s="44">
        <v>423991.73</v>
      </c>
      <c r="U13" s="44"/>
      <c r="V13" s="44">
        <v>6.357E7</v>
      </c>
      <c r="W13" s="41">
        <v>52.0</v>
      </c>
      <c r="X13" s="44" t="s">
        <v>178</v>
      </c>
      <c r="Y13" s="44" t="s">
        <v>197</v>
      </c>
      <c r="Z13" s="44" t="s">
        <v>133</v>
      </c>
      <c r="AA13" s="44" t="s">
        <v>136</v>
      </c>
      <c r="AB13" s="44" t="s">
        <v>187</v>
      </c>
      <c r="AC13" s="44" t="s">
        <v>137</v>
      </c>
      <c r="AD13" s="44">
        <v>62.0</v>
      </c>
      <c r="AE13" s="44"/>
      <c r="AF13" s="44">
        <v>3978444.0</v>
      </c>
      <c r="AG13" s="44"/>
      <c r="AH13" s="44"/>
      <c r="AI13" s="33" t="s">
        <v>230</v>
      </c>
      <c r="AJ13" s="33" t="s">
        <v>231</v>
      </c>
      <c r="AK13" s="33" t="s">
        <v>232</v>
      </c>
      <c r="AL13" s="33" t="s">
        <v>233</v>
      </c>
      <c r="AM13" s="33" t="s">
        <v>234</v>
      </c>
      <c r="AN13" s="36">
        <f t="shared" si="3"/>
        <v>1616.37</v>
      </c>
      <c r="AO13" s="36">
        <f t="shared" si="4"/>
        <v>210.65</v>
      </c>
      <c r="AP13" s="31">
        <f>ROUND(Calculations!N13,1)</f>
        <v>15.5</v>
      </c>
      <c r="AQ13" s="31">
        <f>ROUND(Calculations!Q13,1)</f>
        <v>4.8</v>
      </c>
      <c r="AR13" s="31">
        <f>ROUND(Calculations!R13,1)</f>
        <v>100</v>
      </c>
      <c r="AS13" s="31">
        <f>ROUND(Calculations!V13,1)</f>
        <v>50</v>
      </c>
      <c r="AT13" s="32">
        <f>ROUND(Calculations!W13,1)</f>
        <v>34.9</v>
      </c>
      <c r="AU13" s="31" t="str">
        <f>Calculations!X13</f>
        <v>CCC</v>
      </c>
      <c r="AV13" s="31">
        <f>ROUND(Calculations!Y13,0)</f>
        <v>92</v>
      </c>
    </row>
    <row r="14" ht="36.75" customHeight="1">
      <c r="A14" s="23" t="s">
        <v>235</v>
      </c>
      <c r="B14" s="52" t="s">
        <v>236</v>
      </c>
      <c r="C14" s="52" t="s">
        <v>237</v>
      </c>
      <c r="D14" s="52">
        <v>25.3407</v>
      </c>
      <c r="E14" s="52">
        <v>74.6364</v>
      </c>
      <c r="F14" s="52">
        <v>1960.0</v>
      </c>
      <c r="G14" s="52" t="s">
        <v>146</v>
      </c>
      <c r="H14" s="52">
        <v>17799.0</v>
      </c>
      <c r="I14" s="53">
        <v>15107.0</v>
      </c>
      <c r="J14" s="24">
        <f t="shared" si="1"/>
        <v>84.88</v>
      </c>
      <c r="K14" s="53">
        <v>2692.0</v>
      </c>
      <c r="L14" s="24">
        <f t="shared" si="2"/>
        <v>15.12</v>
      </c>
      <c r="M14" s="52">
        <v>22.0</v>
      </c>
      <c r="N14" s="52" t="s">
        <v>238</v>
      </c>
      <c r="O14" s="52" t="s">
        <v>158</v>
      </c>
      <c r="P14" s="52" t="s">
        <v>133</v>
      </c>
      <c r="Q14" s="52" t="s">
        <v>133</v>
      </c>
      <c r="R14" s="52" t="s">
        <v>133</v>
      </c>
      <c r="S14" s="52">
        <v>33.0</v>
      </c>
      <c r="T14" s="54">
        <v>2807.4</v>
      </c>
      <c r="U14" s="52">
        <v>34.36</v>
      </c>
      <c r="V14" s="52" t="s">
        <v>239</v>
      </c>
      <c r="W14" s="51">
        <v>100.0</v>
      </c>
      <c r="X14" s="52" t="s">
        <v>133</v>
      </c>
      <c r="Y14" s="52" t="s">
        <v>135</v>
      </c>
      <c r="Z14" s="52" t="s">
        <v>133</v>
      </c>
      <c r="AA14" s="52" t="s">
        <v>136</v>
      </c>
      <c r="AB14" s="28" t="s">
        <v>136</v>
      </c>
      <c r="AC14" s="52" t="s">
        <v>137</v>
      </c>
      <c r="AD14" s="52">
        <v>56.46</v>
      </c>
      <c r="AE14" s="50" t="s">
        <v>133</v>
      </c>
      <c r="AF14" s="55">
        <v>7985.0</v>
      </c>
      <c r="AG14" s="50">
        <v>2837.94</v>
      </c>
      <c r="AH14" s="50">
        <v>754.22</v>
      </c>
      <c r="AI14" s="27" t="s">
        <v>240</v>
      </c>
      <c r="AJ14" s="27" t="s">
        <v>241</v>
      </c>
      <c r="AK14" s="27" t="s">
        <v>242</v>
      </c>
      <c r="AL14" s="27" t="s">
        <v>243</v>
      </c>
      <c r="AM14" s="27" t="s">
        <v>244</v>
      </c>
      <c r="AN14" s="29" t="str">
        <f t="shared" si="3"/>
        <v/>
      </c>
      <c r="AO14" s="29" t="str">
        <f t="shared" si="4"/>
        <v/>
      </c>
      <c r="AP14" s="31">
        <f>ROUND(Calculations!N14,1)</f>
        <v>37.8</v>
      </c>
      <c r="AQ14" s="31">
        <f>ROUND(Calculations!Q14,1)</f>
        <v>7.6</v>
      </c>
      <c r="AR14" s="31">
        <f>ROUND(Calculations!R14,1)</f>
        <v>100</v>
      </c>
      <c r="AS14" s="31">
        <f>ROUND(Calculations!V14,1)</f>
        <v>25</v>
      </c>
      <c r="AT14" s="32">
        <f>ROUND(Calculations!W14,1)</f>
        <v>40.8</v>
      </c>
      <c r="AU14" s="31" t="str">
        <f>Calculations!X14</f>
        <v>B</v>
      </c>
      <c r="AV14" s="31">
        <f>ROUND(Calculations!Y14,0)</f>
        <v>83</v>
      </c>
    </row>
    <row r="15" ht="33.0" customHeight="1">
      <c r="A15" s="33" t="s">
        <v>245</v>
      </c>
      <c r="B15" s="41" t="s">
        <v>184</v>
      </c>
      <c r="C15" s="41" t="s">
        <v>185</v>
      </c>
      <c r="D15" s="41">
        <v>12.9716</v>
      </c>
      <c r="E15" s="41">
        <v>77.5946</v>
      </c>
      <c r="F15" s="41">
        <v>2004.0</v>
      </c>
      <c r="G15" s="41" t="s">
        <v>146</v>
      </c>
      <c r="H15" s="41">
        <v>40285.0</v>
      </c>
      <c r="I15" s="56">
        <v>11904.0</v>
      </c>
      <c r="J15" s="33">
        <f t="shared" si="1"/>
        <v>29.55</v>
      </c>
      <c r="K15" s="56">
        <v>28381.0</v>
      </c>
      <c r="L15" s="33">
        <f t="shared" si="2"/>
        <v>70.45</v>
      </c>
      <c r="M15" s="41">
        <v>36.0</v>
      </c>
      <c r="N15" s="41" t="s">
        <v>217</v>
      </c>
      <c r="O15" s="41" t="s">
        <v>158</v>
      </c>
      <c r="P15" s="41">
        <v>41722.0</v>
      </c>
      <c r="Q15" s="41" t="s">
        <v>184</v>
      </c>
      <c r="R15" s="41">
        <v>55952.0</v>
      </c>
      <c r="S15" s="41">
        <v>78.73</v>
      </c>
      <c r="T15" s="57">
        <v>503.0</v>
      </c>
      <c r="U15" s="41">
        <v>7.5</v>
      </c>
      <c r="V15" s="41">
        <v>468556.0</v>
      </c>
      <c r="W15" s="41">
        <v>100.0</v>
      </c>
      <c r="X15" s="41" t="s">
        <v>133</v>
      </c>
      <c r="Y15" s="41" t="s">
        <v>135</v>
      </c>
      <c r="Z15" s="41" t="s">
        <v>133</v>
      </c>
      <c r="AA15" s="41" t="s">
        <v>133</v>
      </c>
      <c r="AB15" s="41" t="s">
        <v>136</v>
      </c>
      <c r="AC15" s="41" t="s">
        <v>137</v>
      </c>
      <c r="AD15" s="41">
        <v>13.0</v>
      </c>
      <c r="AE15" s="44" t="s">
        <v>133</v>
      </c>
      <c r="AF15" s="58">
        <v>5052.0</v>
      </c>
      <c r="AG15" s="44">
        <v>530.3</v>
      </c>
      <c r="AH15" s="44">
        <v>131.0</v>
      </c>
      <c r="AI15" s="33" t="s">
        <v>246</v>
      </c>
      <c r="AJ15" s="33" t="s">
        <v>247</v>
      </c>
      <c r="AK15" s="33" t="s">
        <v>248</v>
      </c>
      <c r="AL15" s="33" t="s">
        <v>249</v>
      </c>
      <c r="AM15" s="33" t="s">
        <v>250</v>
      </c>
      <c r="AN15" s="36">
        <f t="shared" si="3"/>
        <v>1.39</v>
      </c>
      <c r="AO15" s="36">
        <f t="shared" si="4"/>
        <v>111.24</v>
      </c>
      <c r="AP15" s="31">
        <f>ROUND(Calculations!N15,1)</f>
        <v>55.9</v>
      </c>
      <c r="AQ15" s="31">
        <f>ROUND(Calculations!Q15,1)</f>
        <v>35.2</v>
      </c>
      <c r="AR15" s="31">
        <f>ROUND(Calculations!R15,1)</f>
        <v>100</v>
      </c>
      <c r="AS15" s="31">
        <f>ROUND(Calculations!V15,1)</f>
        <v>15</v>
      </c>
      <c r="AT15" s="32">
        <f>ROUND(Calculations!W15,1)</f>
        <v>53.4</v>
      </c>
      <c r="AU15" s="31" t="str">
        <f>Calculations!X15</f>
        <v>BB</v>
      </c>
      <c r="AV15" s="31">
        <f>ROUND(Calculations!Y15,0)</f>
        <v>100</v>
      </c>
    </row>
    <row r="16" ht="33.0" customHeight="1">
      <c r="A16" s="23" t="s">
        <v>251</v>
      </c>
      <c r="B16" s="52" t="s">
        <v>128</v>
      </c>
      <c r="C16" s="52" t="s">
        <v>129</v>
      </c>
      <c r="D16" s="52">
        <v>28.4089</v>
      </c>
      <c r="E16" s="52">
        <v>77.3178</v>
      </c>
      <c r="F16" s="52">
        <v>2008.0</v>
      </c>
      <c r="G16" s="52" t="s">
        <v>130</v>
      </c>
      <c r="H16" s="52">
        <v>11464.0</v>
      </c>
      <c r="I16" s="52">
        <v>5879.0</v>
      </c>
      <c r="J16" s="52">
        <f t="shared" si="1"/>
        <v>51.28</v>
      </c>
      <c r="K16" s="52">
        <v>5585.0</v>
      </c>
      <c r="L16" s="52">
        <f t="shared" si="2"/>
        <v>48.72</v>
      </c>
      <c r="M16" s="52">
        <v>8.0</v>
      </c>
      <c r="N16" s="52" t="s">
        <v>252</v>
      </c>
      <c r="O16" s="52" t="s">
        <v>253</v>
      </c>
      <c r="P16" s="52">
        <v>2138.0</v>
      </c>
      <c r="Q16" s="52">
        <v>4799.0</v>
      </c>
      <c r="R16" s="52">
        <v>6937.0</v>
      </c>
      <c r="S16" s="52">
        <v>5.1</v>
      </c>
      <c r="T16" s="52">
        <v>35.58</v>
      </c>
      <c r="U16" s="52">
        <v>0.38</v>
      </c>
      <c r="V16" s="52">
        <v>82038.0</v>
      </c>
      <c r="W16" s="52" t="s">
        <v>133</v>
      </c>
      <c r="X16" s="52" t="s">
        <v>133</v>
      </c>
      <c r="Y16" s="52" t="s">
        <v>135</v>
      </c>
      <c r="Z16" s="52" t="s">
        <v>254</v>
      </c>
      <c r="AA16" s="52" t="s">
        <v>136</v>
      </c>
      <c r="AB16" s="52" t="s">
        <v>136</v>
      </c>
      <c r="AC16" s="52" t="s">
        <v>137</v>
      </c>
      <c r="AD16" s="52" t="s">
        <v>133</v>
      </c>
      <c r="AE16" s="52"/>
      <c r="AF16" s="52">
        <v>483.26</v>
      </c>
      <c r="AG16" s="52">
        <v>4.47</v>
      </c>
      <c r="AH16" s="52">
        <v>3.45</v>
      </c>
      <c r="AI16" s="24" t="s">
        <v>255</v>
      </c>
      <c r="AJ16" s="52" t="s">
        <v>256</v>
      </c>
      <c r="AK16" s="52" t="s">
        <v>257</v>
      </c>
      <c r="AL16" s="24" t="s">
        <v>258</v>
      </c>
      <c r="AM16" s="52" t="s">
        <v>133</v>
      </c>
      <c r="AN16" s="52">
        <f t="shared" si="3"/>
        <v>0.61</v>
      </c>
      <c r="AO16" s="52">
        <f t="shared" si="4"/>
        <v>194.97</v>
      </c>
      <c r="AP16" s="31">
        <f>ROUND(Calculations!N16,1)</f>
        <v>50.9</v>
      </c>
      <c r="AQ16" s="31">
        <f>ROUND(Calculations!Q16,1)</f>
        <v>48.7</v>
      </c>
      <c r="AR16" s="31">
        <f>ROUND(Calculations!R16,1)</f>
        <v>55</v>
      </c>
      <c r="AS16" s="31">
        <f>ROUND(Calculations!V16,1)</f>
        <v>40</v>
      </c>
      <c r="AT16" s="32">
        <f>ROUND(Calculations!W16,1)</f>
        <v>49.5</v>
      </c>
      <c r="AU16" s="31" t="str">
        <f>Calculations!X16</f>
        <v>B</v>
      </c>
      <c r="AV16" s="31">
        <f>ROUND(Calculations!Y16,0)</f>
        <v>83</v>
      </c>
    </row>
    <row r="17" ht="15.0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31"/>
    </row>
    <row r="18" ht="15.0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ht="15.0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ht="15.0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</row>
  </sheetData>
  <autoFilter ref="$A$1:$AI$16"/>
  <conditionalFormatting sqref="AT1:AT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/>
  <pageMargins bottom="1.0" footer="0.0" header="0.0" left="0.75" right="0.75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1.0"/>
    <col customWidth="1" min="4" max="4" width="13.0"/>
    <col customWidth="1" min="5" max="5" width="14.0"/>
    <col customWidth="1" min="6" max="6" width="12.0"/>
    <col customWidth="1" min="7" max="7" width="11.0"/>
    <col customWidth="1" min="8" max="8" width="13.0"/>
    <col customWidth="1" min="9" max="9" width="14.0"/>
    <col customWidth="1" min="10" max="26" width="8.71"/>
  </cols>
  <sheetData>
    <row r="1">
      <c r="A1" s="60" t="s">
        <v>259</v>
      </c>
    </row>
    <row r="2">
      <c r="A2" s="61" t="s">
        <v>21</v>
      </c>
    </row>
    <row r="3">
      <c r="E3" s="62"/>
    </row>
    <row r="4">
      <c r="A4" s="63" t="s">
        <v>260</v>
      </c>
      <c r="B4" s="63" t="s">
        <v>120</v>
      </c>
      <c r="C4" s="63" t="s">
        <v>121</v>
      </c>
      <c r="D4" s="63" t="s">
        <v>122</v>
      </c>
      <c r="E4" s="64" t="s">
        <v>123</v>
      </c>
      <c r="F4" s="63" t="s">
        <v>124</v>
      </c>
      <c r="G4" s="63" t="s">
        <v>125</v>
      </c>
      <c r="H4" s="63" t="s">
        <v>126</v>
      </c>
      <c r="I4" s="63" t="s">
        <v>261</v>
      </c>
    </row>
    <row r="5">
      <c r="A5" s="65" t="str">
        <f>Calculations!A2</f>
        <v>Shahi Exports</v>
      </c>
      <c r="B5" s="66">
        <f>ROUND(Calculations!N2,1)</f>
        <v>60.8</v>
      </c>
      <c r="C5" s="66">
        <f>ROUND(Calculations!Q2,1)</f>
        <v>71.6</v>
      </c>
      <c r="D5" s="66">
        <f>ROUND(Calculations!R2,1)</f>
        <v>55</v>
      </c>
      <c r="E5" s="67">
        <f>ROUND(Calculations!V2,1)</f>
        <v>52.5</v>
      </c>
      <c r="F5" s="68">
        <f>ROUND(Calculations!W2,1)</f>
        <v>61.1</v>
      </c>
      <c r="G5" s="66" t="str">
        <f>Calculations!X2</f>
        <v>BBB</v>
      </c>
      <c r="H5" s="66">
        <f>ROUND(Calculations!Y2,0)</f>
        <v>92</v>
      </c>
      <c r="I5" s="66" t="str">
        <f>Calculations!Z2</f>
        <v>High</v>
      </c>
    </row>
    <row r="6">
      <c r="A6" s="65" t="str">
        <f>Calculations!A3</f>
        <v>Vardhman Textiles</v>
      </c>
      <c r="B6" s="66">
        <f>ROUND(Calculations!N3,1)</f>
        <v>47.4</v>
      </c>
      <c r="C6" s="66">
        <f>ROUND(Calculations!Q3,1)</f>
        <v>34.4</v>
      </c>
      <c r="D6" s="66">
        <f>ROUND(Calculations!R3,1)</f>
        <v>100</v>
      </c>
      <c r="E6" s="67">
        <f>ROUND(Calculations!V3,1)</f>
        <v>30</v>
      </c>
      <c r="F6" s="68">
        <f>ROUND(Calculations!W3,1)</f>
        <v>52.1</v>
      </c>
      <c r="G6" s="66" t="str">
        <f>Calculations!X3</f>
        <v>BB</v>
      </c>
      <c r="H6" s="66">
        <f>ROUND(Calculations!Y3,0)</f>
        <v>83</v>
      </c>
      <c r="I6" s="66" t="str">
        <f>Calculations!Z3</f>
        <v>High</v>
      </c>
    </row>
    <row r="7">
      <c r="A7" s="65" t="str">
        <f>Calculations!A4</f>
        <v>Arvind Limited</v>
      </c>
      <c r="B7" s="66">
        <f>ROUND(Calculations!N4,1)</f>
        <v>66.5</v>
      </c>
      <c r="C7" s="66">
        <f>ROUND(Calculations!Q4,1)</f>
        <v>65.1</v>
      </c>
      <c r="D7" s="66">
        <f>ROUND(Calculations!R4,1)</f>
        <v>100</v>
      </c>
      <c r="E7" s="67">
        <f>ROUND(Calculations!V4,1)</f>
        <v>50</v>
      </c>
      <c r="F7" s="68">
        <f>ROUND(Calculations!W4,1)</f>
        <v>70.4</v>
      </c>
      <c r="G7" s="66" t="str">
        <f>Calculations!X4</f>
        <v>A</v>
      </c>
      <c r="H7" s="66">
        <f>ROUND(Calculations!Y4,0)</f>
        <v>92</v>
      </c>
      <c r="I7" s="66" t="str">
        <f>Calculations!Z4</f>
        <v>High</v>
      </c>
    </row>
    <row r="8">
      <c r="A8" s="65" t="str">
        <f>Calculations!A5</f>
        <v>Trident Limited</v>
      </c>
      <c r="B8" s="66">
        <f>ROUND(Calculations!N5,1)</f>
        <v>53</v>
      </c>
      <c r="C8" s="66">
        <f>ROUND(Calculations!Q5,1)</f>
        <v>17.9</v>
      </c>
      <c r="D8" s="66">
        <f>ROUND(Calculations!R5,1)</f>
        <v>100</v>
      </c>
      <c r="E8" s="67">
        <f>ROUND(Calculations!V5,1)</f>
        <v>92</v>
      </c>
      <c r="F8" s="68">
        <f>ROUND(Calculations!W5,1)</f>
        <v>59.5</v>
      </c>
      <c r="G8" s="66" t="str">
        <f>Calculations!X5</f>
        <v>BB</v>
      </c>
      <c r="H8" s="66">
        <f>ROUND(Calculations!Y5,0)</f>
        <v>83</v>
      </c>
      <c r="I8" s="66" t="str">
        <f>Calculations!Z5</f>
        <v>High</v>
      </c>
    </row>
    <row r="9">
      <c r="A9" s="65" t="str">
        <f>Calculations!A6</f>
        <v>K.P.R. Mill Limited</v>
      </c>
      <c r="B9" s="66">
        <f>ROUND(Calculations!N6,1)</f>
        <v>56.6</v>
      </c>
      <c r="C9" s="66">
        <f>ROUND(Calculations!Q6,1)</f>
        <v>83.6</v>
      </c>
      <c r="D9" s="66">
        <f>ROUND(Calculations!R6,1)</f>
        <v>100</v>
      </c>
      <c r="E9" s="67">
        <f>ROUND(Calculations!V6,1)</f>
        <v>30</v>
      </c>
      <c r="F9" s="68">
        <f>ROUND(Calculations!W6,1)</f>
        <v>68</v>
      </c>
      <c r="G9" s="66" t="str">
        <f>Calculations!X6</f>
        <v>BBB</v>
      </c>
      <c r="H9" s="66">
        <f>ROUND(Calculations!Y6,0)</f>
        <v>83</v>
      </c>
      <c r="I9" s="66" t="str">
        <f>Calculations!Z6</f>
        <v>High</v>
      </c>
    </row>
    <row r="10">
      <c r="A10" s="65" t="str">
        <f>Calculations!A7</f>
        <v>Page Industries</v>
      </c>
      <c r="B10" s="66">
        <f>ROUND(Calculations!N7,1)</f>
        <v>64.9</v>
      </c>
      <c r="C10" s="66">
        <f>ROUND(Calculations!Q7,1)</f>
        <v>79.3</v>
      </c>
      <c r="D10" s="66">
        <f>ROUND(Calculations!R7,1)</f>
        <v>100</v>
      </c>
      <c r="E10" s="67">
        <f>ROUND(Calculations!V7,1)</f>
        <v>80</v>
      </c>
      <c r="F10" s="68">
        <f>ROUND(Calculations!W7,1)</f>
        <v>77.8</v>
      </c>
      <c r="G10" s="66" t="str">
        <f>Calculations!X7</f>
        <v>A</v>
      </c>
      <c r="H10" s="66">
        <f>ROUND(Calculations!Y7,0)</f>
        <v>83</v>
      </c>
      <c r="I10" s="66" t="str">
        <f>Calculations!Z7</f>
        <v>High</v>
      </c>
    </row>
    <row r="11">
      <c r="A11" s="65" t="str">
        <f>Calculations!A8</f>
        <v>Indo Count</v>
      </c>
      <c r="B11" s="66">
        <f>ROUND(Calculations!N8,1)</f>
        <v>54.9</v>
      </c>
      <c r="C11" s="66">
        <f>ROUND(Calculations!Q8,1)</f>
        <v>57.5</v>
      </c>
      <c r="D11" s="66">
        <f>ROUND(Calculations!R8,1)</f>
        <v>100</v>
      </c>
      <c r="E11" s="67">
        <f>ROUND(Calculations!V8,1)</f>
        <v>70</v>
      </c>
      <c r="F11" s="68">
        <f>ROUND(Calculations!W8,1)</f>
        <v>66.8</v>
      </c>
      <c r="G11" s="66" t="str">
        <f>Calculations!X8</f>
        <v>BBB</v>
      </c>
      <c r="H11" s="66">
        <f>ROUND(Calculations!Y8,0)</f>
        <v>75</v>
      </c>
      <c r="I11" s="66" t="str">
        <f>Calculations!Z8</f>
        <v>Medium</v>
      </c>
    </row>
    <row r="12">
      <c r="A12" s="65" t="str">
        <f>Calculations!A9</f>
        <v>Pearl Global</v>
      </c>
      <c r="B12" s="66">
        <f>ROUND(Calculations!N9,1)</f>
        <v>56.4</v>
      </c>
      <c r="C12" s="66">
        <f>ROUND(Calculations!Q9,1)</f>
        <v>53.8</v>
      </c>
      <c r="D12" s="66">
        <f>ROUND(Calculations!R9,1)</f>
        <v>100</v>
      </c>
      <c r="E12" s="67">
        <f>ROUND(Calculations!V9,1)</f>
        <v>30</v>
      </c>
      <c r="F12" s="68">
        <f>ROUND(Calculations!W9,1)</f>
        <v>60.5</v>
      </c>
      <c r="G12" s="66" t="str">
        <f>Calculations!X9</f>
        <v>BBB</v>
      </c>
      <c r="H12" s="66">
        <f>ROUND(Calculations!Y9,0)</f>
        <v>75</v>
      </c>
      <c r="I12" s="66" t="str">
        <f>Calculations!Z9</f>
        <v>Medium</v>
      </c>
    </row>
    <row r="13">
      <c r="A13" s="65" t="str">
        <f>Calculations!A10</f>
        <v>Welspun Living</v>
      </c>
      <c r="B13" s="66">
        <f>ROUND(Calculations!N10,1)</f>
        <v>69.7</v>
      </c>
      <c r="C13" s="66">
        <f>ROUND(Calculations!Q10,1)</f>
        <v>63.7</v>
      </c>
      <c r="D13" s="66">
        <f>ROUND(Calculations!R10,1)</f>
        <v>100</v>
      </c>
      <c r="E13" s="67">
        <f>ROUND(Calculations!V10,1)</f>
        <v>83.5</v>
      </c>
      <c r="F13" s="68">
        <f>ROUND(Calculations!W10,1)</f>
        <v>76.3</v>
      </c>
      <c r="G13" s="66" t="str">
        <f>Calculations!X10</f>
        <v>A</v>
      </c>
      <c r="H13" s="66">
        <f>ROUND(Calculations!Y10,0)</f>
        <v>100</v>
      </c>
      <c r="I13" s="66" t="str">
        <f>Calculations!Z10</f>
        <v>High</v>
      </c>
    </row>
    <row r="14">
      <c r="A14" s="65" t="str">
        <f>Calculations!A11</f>
        <v>Siyaram's Silk Mills</v>
      </c>
      <c r="B14" s="66">
        <f>ROUND(Calculations!N11,1)</f>
        <v>53.5</v>
      </c>
      <c r="C14" s="66">
        <f>ROUND(Calculations!Q11,1)</f>
        <v>18.6</v>
      </c>
      <c r="D14" s="66">
        <f>ROUND(Calculations!R11,1)</f>
        <v>100</v>
      </c>
      <c r="E14" s="67">
        <f>ROUND(Calculations!V11,1)</f>
        <v>30</v>
      </c>
      <c r="F14" s="68">
        <f>ROUND(Calculations!W11,1)</f>
        <v>50.5</v>
      </c>
      <c r="G14" s="66" t="str">
        <f>Calculations!X11</f>
        <v>BB</v>
      </c>
      <c r="H14" s="66">
        <f>ROUND(Calculations!Y11,0)</f>
        <v>83</v>
      </c>
      <c r="I14" s="66" t="str">
        <f>Calculations!Z11</f>
        <v>High</v>
      </c>
    </row>
    <row r="15">
      <c r="A15" s="65" t="str">
        <f>Calculations!A12</f>
        <v>Jindal Worldwide</v>
      </c>
      <c r="B15" s="66">
        <f>ROUND(Calculations!N12,1)</f>
        <v>46.9</v>
      </c>
      <c r="C15" s="66">
        <f>ROUND(Calculations!Q12,1)</f>
        <v>1.4</v>
      </c>
      <c r="D15" s="66">
        <f>ROUND(Calculations!R12,1)</f>
        <v>100</v>
      </c>
      <c r="E15" s="67">
        <f>ROUND(Calculations!V12,1)</f>
        <v>15</v>
      </c>
      <c r="F15" s="68">
        <f>ROUND(Calculations!W12,1)</f>
        <v>41.4</v>
      </c>
      <c r="G15" s="66" t="str">
        <f>Calculations!X12</f>
        <v>B</v>
      </c>
      <c r="H15" s="66">
        <f>ROUND(Calculations!Y12,0)</f>
        <v>92</v>
      </c>
      <c r="I15" s="66" t="str">
        <f>Calculations!Z12</f>
        <v>High</v>
      </c>
    </row>
    <row r="16">
      <c r="A16" s="65" t="str">
        <f>Calculations!A13</f>
        <v>Grasim Industries</v>
      </c>
      <c r="B16" s="66">
        <f>ROUND(Calculations!N13,1)</f>
        <v>15.5</v>
      </c>
      <c r="C16" s="66">
        <f>ROUND(Calculations!Q13,1)</f>
        <v>4.8</v>
      </c>
      <c r="D16" s="66">
        <f>ROUND(Calculations!R13,1)</f>
        <v>100</v>
      </c>
      <c r="E16" s="67">
        <f>ROUND(Calculations!V13,1)</f>
        <v>50</v>
      </c>
      <c r="F16" s="68">
        <f>ROUND(Calculations!W13,1)</f>
        <v>34.9</v>
      </c>
      <c r="G16" s="66" t="str">
        <f>Calculations!X13</f>
        <v>CCC</v>
      </c>
      <c r="H16" s="66">
        <f>ROUND(Calculations!Y13,0)</f>
        <v>92</v>
      </c>
      <c r="I16" s="66" t="str">
        <f>Calculations!Z13</f>
        <v>High</v>
      </c>
    </row>
    <row r="17">
      <c r="A17" s="65" t="str">
        <f>Calculations!A14</f>
        <v>RSWM Limited</v>
      </c>
      <c r="B17" s="66">
        <f>ROUND(Calculations!N14,1)</f>
        <v>37.8</v>
      </c>
      <c r="C17" s="66">
        <f>ROUND(Calculations!Q14,1)</f>
        <v>7.6</v>
      </c>
      <c r="D17" s="66">
        <f>ROUND(Calculations!R14,1)</f>
        <v>100</v>
      </c>
      <c r="E17" s="67">
        <f>ROUND(Calculations!V14,1)</f>
        <v>25</v>
      </c>
      <c r="F17" s="68">
        <f>ROUND(Calculations!W14,1)</f>
        <v>40.8</v>
      </c>
      <c r="G17" s="66" t="str">
        <f>Calculations!X14</f>
        <v>B</v>
      </c>
      <c r="H17" s="66">
        <f>ROUND(Calculations!Y14,0)</f>
        <v>83</v>
      </c>
      <c r="I17" s="66" t="str">
        <f>Calculations!Z14</f>
        <v>High</v>
      </c>
    </row>
    <row r="18">
      <c r="A18" s="65" t="str">
        <f>Calculations!A15</f>
        <v>Gokaldas Exports Limited</v>
      </c>
      <c r="B18" s="66">
        <f>ROUND(Calculations!N15,1)</f>
        <v>55.9</v>
      </c>
      <c r="C18" s="66">
        <f>ROUND(Calculations!Q15,1)</f>
        <v>35.2</v>
      </c>
      <c r="D18" s="66">
        <f>ROUND(Calculations!R15,1)</f>
        <v>100</v>
      </c>
      <c r="E18" s="67">
        <f>ROUND(Calculations!V15,1)</f>
        <v>15</v>
      </c>
      <c r="F18" s="68">
        <f>ROUND(Calculations!W15,1)</f>
        <v>53.4</v>
      </c>
      <c r="G18" s="66" t="str">
        <f>Calculations!X15</f>
        <v>BB</v>
      </c>
      <c r="H18" s="66">
        <f>ROUND(Calculations!Y15,0)</f>
        <v>100</v>
      </c>
      <c r="I18" s="66" t="str">
        <f>Calculations!Z15</f>
        <v>High</v>
      </c>
    </row>
    <row r="19">
      <c r="A19" s="65" t="str">
        <f>Calculations!A16</f>
        <v>Vamani Overseas Pvt. Ltd.</v>
      </c>
      <c r="B19" s="66">
        <f>ROUND(Calculations!N16,1)</f>
        <v>50.9</v>
      </c>
      <c r="C19" s="66">
        <f>ROUND(Calculations!Q16,1)</f>
        <v>48.7</v>
      </c>
      <c r="D19" s="66">
        <f>ROUND(Calculations!R16,1)</f>
        <v>55</v>
      </c>
      <c r="E19" s="67">
        <f>ROUND(Calculations!V16,1)</f>
        <v>40</v>
      </c>
      <c r="F19" s="68">
        <f>ROUND(Calculations!W16,1)</f>
        <v>49.5</v>
      </c>
      <c r="G19" s="66" t="str">
        <f>Calculations!X16</f>
        <v>B</v>
      </c>
      <c r="H19" s="66">
        <f>ROUND(Calculations!Y16,0)</f>
        <v>83</v>
      </c>
      <c r="I19" s="66" t="str">
        <f>Calculations!Z16</f>
        <v>High</v>
      </c>
    </row>
    <row r="20">
      <c r="E20" s="62"/>
    </row>
    <row r="21" ht="15.75" customHeight="1">
      <c r="A21" s="69" t="s">
        <v>262</v>
      </c>
    </row>
    <row r="22" ht="15.75" customHeight="1">
      <c r="E22" s="62"/>
    </row>
    <row r="23" ht="15.75" customHeight="1">
      <c r="E23" s="62"/>
    </row>
    <row r="24" ht="15.75" customHeight="1">
      <c r="E24" s="62"/>
    </row>
    <row r="25" ht="15.75" customHeight="1">
      <c r="E25" s="62"/>
    </row>
    <row r="26" ht="15.75" customHeight="1">
      <c r="E26" s="62"/>
    </row>
    <row r="27" ht="15.75" customHeight="1">
      <c r="E27" s="62"/>
    </row>
    <row r="28" ht="15.75" customHeight="1">
      <c r="E28" s="62"/>
    </row>
    <row r="29" ht="15.75" customHeight="1">
      <c r="E29" s="62"/>
    </row>
    <row r="30" ht="15.75" customHeight="1">
      <c r="E30" s="62"/>
    </row>
    <row r="31" ht="15.75" customHeight="1">
      <c r="E31" s="62"/>
    </row>
    <row r="32" ht="15.75" customHeight="1">
      <c r="E32" s="62"/>
    </row>
    <row r="33" ht="15.75" customHeight="1">
      <c r="E33" s="62"/>
    </row>
    <row r="34" ht="15.75" customHeight="1">
      <c r="E34" s="62"/>
    </row>
    <row r="35" ht="15.75" customHeight="1">
      <c r="E35" s="62"/>
    </row>
    <row r="36" ht="15.75" customHeight="1">
      <c r="E36" s="62"/>
    </row>
    <row r="37" ht="15.75" customHeight="1">
      <c r="E37" s="62"/>
    </row>
    <row r="38" ht="15.75" customHeight="1">
      <c r="E38" s="62"/>
    </row>
    <row r="39" ht="15.75" customHeight="1">
      <c r="E39" s="62"/>
    </row>
    <row r="40" ht="15.75" customHeight="1">
      <c r="E40" s="62"/>
    </row>
    <row r="41" ht="15.75" customHeight="1">
      <c r="E41" s="62"/>
    </row>
    <row r="42" ht="15.75" customHeight="1">
      <c r="E42" s="62"/>
    </row>
    <row r="43" ht="15.75" customHeight="1">
      <c r="E43" s="62"/>
    </row>
    <row r="44" ht="15.75" customHeight="1">
      <c r="E44" s="62"/>
    </row>
    <row r="45" ht="15.75" customHeight="1">
      <c r="E45" s="62"/>
    </row>
    <row r="46" ht="15.75" customHeight="1">
      <c r="E46" s="62"/>
    </row>
    <row r="47" ht="15.75" customHeight="1">
      <c r="E47" s="62"/>
    </row>
    <row r="48" ht="15.75" customHeight="1">
      <c r="E48" s="62"/>
    </row>
    <row r="49" ht="15.75" customHeight="1">
      <c r="E49" s="62"/>
    </row>
    <row r="50" ht="15.75" customHeight="1">
      <c r="E50" s="62"/>
    </row>
    <row r="51" ht="15.75" customHeight="1">
      <c r="E51" s="62"/>
    </row>
    <row r="52" ht="15.75" customHeight="1">
      <c r="E52" s="62"/>
    </row>
    <row r="53" ht="15.75" customHeight="1">
      <c r="E53" s="62"/>
    </row>
    <row r="54" ht="15.75" customHeight="1">
      <c r="E54" s="62"/>
    </row>
    <row r="55" ht="15.75" customHeight="1">
      <c r="E55" s="62"/>
    </row>
    <row r="56" ht="15.75" customHeight="1">
      <c r="E56" s="62"/>
    </row>
    <row r="57" ht="15.75" customHeight="1">
      <c r="E57" s="62"/>
    </row>
    <row r="58" ht="15.75" customHeight="1">
      <c r="E58" s="62"/>
    </row>
    <row r="59" ht="15.75" customHeight="1">
      <c r="E59" s="62"/>
    </row>
    <row r="60" ht="15.75" customHeight="1">
      <c r="E60" s="62"/>
    </row>
    <row r="61" ht="15.75" customHeight="1">
      <c r="E61" s="62"/>
    </row>
    <row r="62" ht="15.75" customHeight="1">
      <c r="E62" s="62"/>
    </row>
    <row r="63" ht="15.75" customHeight="1">
      <c r="E63" s="62"/>
    </row>
    <row r="64" ht="15.75" customHeight="1">
      <c r="E64" s="62"/>
    </row>
    <row r="65" ht="15.75" customHeight="1">
      <c r="E65" s="62"/>
    </row>
    <row r="66" ht="15.75" customHeight="1">
      <c r="E66" s="62"/>
    </row>
    <row r="67" ht="15.75" customHeight="1">
      <c r="E67" s="62"/>
    </row>
    <row r="68" ht="15.75" customHeight="1">
      <c r="E68" s="62"/>
    </row>
    <row r="69" ht="15.75" customHeight="1">
      <c r="E69" s="62"/>
    </row>
    <row r="70" ht="15.75" customHeight="1">
      <c r="E70" s="62"/>
    </row>
    <row r="71" ht="15.75" customHeight="1">
      <c r="E71" s="62"/>
    </row>
    <row r="72" ht="15.75" customHeight="1">
      <c r="E72" s="62"/>
    </row>
    <row r="73" ht="15.75" customHeight="1">
      <c r="E73" s="62"/>
    </row>
    <row r="74" ht="15.75" customHeight="1">
      <c r="E74" s="62"/>
    </row>
    <row r="75" ht="15.75" customHeight="1">
      <c r="E75" s="62"/>
    </row>
    <row r="76" ht="15.75" customHeight="1">
      <c r="E76" s="62"/>
    </row>
    <row r="77" ht="15.75" customHeight="1">
      <c r="E77" s="62"/>
    </row>
    <row r="78" ht="15.75" customHeight="1">
      <c r="E78" s="62"/>
    </row>
    <row r="79" ht="15.75" customHeight="1">
      <c r="E79" s="62"/>
    </row>
    <row r="80" ht="15.75" customHeight="1">
      <c r="E80" s="62"/>
    </row>
    <row r="81" ht="15.75" customHeight="1">
      <c r="E81" s="62"/>
    </row>
    <row r="82" ht="15.75" customHeight="1">
      <c r="E82" s="62"/>
    </row>
    <row r="83" ht="15.75" customHeight="1">
      <c r="E83" s="62"/>
    </row>
    <row r="84" ht="15.75" customHeight="1">
      <c r="E84" s="62"/>
    </row>
    <row r="85" ht="15.75" customHeight="1">
      <c r="E85" s="62"/>
    </row>
    <row r="86" ht="15.75" customHeight="1">
      <c r="E86" s="62"/>
    </row>
    <row r="87" ht="15.75" customHeight="1">
      <c r="E87" s="62"/>
    </row>
    <row r="88" ht="15.75" customHeight="1">
      <c r="E88" s="62"/>
    </row>
    <row r="89" ht="15.75" customHeight="1">
      <c r="E89" s="62"/>
    </row>
    <row r="90" ht="15.75" customHeight="1">
      <c r="E90" s="62"/>
    </row>
    <row r="91" ht="15.75" customHeight="1">
      <c r="E91" s="62"/>
    </row>
    <row r="92" ht="15.75" customHeight="1">
      <c r="E92" s="62"/>
    </row>
    <row r="93" ht="15.75" customHeight="1">
      <c r="E93" s="62"/>
    </row>
    <row r="94" ht="15.75" customHeight="1">
      <c r="E94" s="62"/>
    </row>
    <row r="95" ht="15.75" customHeight="1">
      <c r="E95" s="62"/>
    </row>
    <row r="96" ht="15.75" customHeight="1">
      <c r="E96" s="62"/>
    </row>
    <row r="97" ht="15.75" customHeight="1">
      <c r="E97" s="62"/>
    </row>
    <row r="98" ht="15.75" customHeight="1">
      <c r="E98" s="62"/>
    </row>
    <row r="99" ht="15.75" customHeight="1">
      <c r="E99" s="62"/>
    </row>
    <row r="100" ht="15.75" customHeight="1">
      <c r="E100" s="62"/>
    </row>
    <row r="101" ht="15.75" customHeight="1">
      <c r="E101" s="62"/>
    </row>
    <row r="102" ht="15.75" customHeight="1">
      <c r="E102" s="62"/>
    </row>
    <row r="103" ht="15.75" customHeight="1">
      <c r="E103" s="62"/>
    </row>
    <row r="104" ht="15.75" customHeight="1">
      <c r="E104" s="62"/>
    </row>
    <row r="105" ht="15.75" customHeight="1">
      <c r="E105" s="62"/>
    </row>
    <row r="106" ht="15.75" customHeight="1">
      <c r="E106" s="62"/>
    </row>
    <row r="107" ht="15.75" customHeight="1">
      <c r="E107" s="62"/>
    </row>
    <row r="108" ht="15.75" customHeight="1">
      <c r="E108" s="62"/>
    </row>
    <row r="109" ht="15.75" customHeight="1">
      <c r="E109" s="62"/>
    </row>
    <row r="110" ht="15.75" customHeight="1">
      <c r="E110" s="62"/>
    </row>
    <row r="111" ht="15.75" customHeight="1">
      <c r="E111" s="62"/>
    </row>
    <row r="112" ht="15.75" customHeight="1">
      <c r="E112" s="62"/>
    </row>
    <row r="113" ht="15.75" customHeight="1">
      <c r="E113" s="62"/>
    </row>
    <row r="114" ht="15.75" customHeight="1">
      <c r="E114" s="62"/>
    </row>
    <row r="115" ht="15.75" customHeight="1">
      <c r="E115" s="62"/>
    </row>
    <row r="116" ht="15.75" customHeight="1">
      <c r="E116" s="62"/>
    </row>
    <row r="117" ht="15.75" customHeight="1">
      <c r="E117" s="62"/>
    </row>
    <row r="118" ht="15.75" customHeight="1">
      <c r="E118" s="62"/>
    </row>
    <row r="119" ht="15.75" customHeight="1">
      <c r="E119" s="62"/>
    </row>
    <row r="120" ht="15.75" customHeight="1">
      <c r="E120" s="62"/>
    </row>
    <row r="121" ht="15.75" customHeight="1">
      <c r="E121" s="62"/>
    </row>
    <row r="122" ht="15.75" customHeight="1">
      <c r="E122" s="62"/>
    </row>
    <row r="123" ht="15.75" customHeight="1">
      <c r="E123" s="62"/>
    </row>
    <row r="124" ht="15.75" customHeight="1">
      <c r="E124" s="62"/>
    </row>
    <row r="125" ht="15.75" customHeight="1">
      <c r="E125" s="62"/>
    </row>
    <row r="126" ht="15.75" customHeight="1">
      <c r="E126" s="62"/>
    </row>
    <row r="127" ht="15.75" customHeight="1">
      <c r="E127" s="62"/>
    </row>
    <row r="128" ht="15.75" customHeight="1">
      <c r="E128" s="62"/>
    </row>
    <row r="129" ht="15.75" customHeight="1">
      <c r="E129" s="62"/>
    </row>
    <row r="130" ht="15.75" customHeight="1">
      <c r="E130" s="62"/>
    </row>
    <row r="131" ht="15.75" customHeight="1">
      <c r="E131" s="62"/>
    </row>
    <row r="132" ht="15.75" customHeight="1">
      <c r="E132" s="62"/>
    </row>
    <row r="133" ht="15.75" customHeight="1">
      <c r="E133" s="62"/>
    </row>
    <row r="134" ht="15.75" customHeight="1">
      <c r="E134" s="62"/>
    </row>
    <row r="135" ht="15.75" customHeight="1">
      <c r="E135" s="62"/>
    </row>
    <row r="136" ht="15.75" customHeight="1">
      <c r="E136" s="62"/>
    </row>
    <row r="137" ht="15.75" customHeight="1">
      <c r="E137" s="62"/>
    </row>
    <row r="138" ht="15.75" customHeight="1">
      <c r="E138" s="62"/>
    </row>
    <row r="139" ht="15.75" customHeight="1">
      <c r="E139" s="62"/>
    </row>
    <row r="140" ht="15.75" customHeight="1">
      <c r="E140" s="62"/>
    </row>
    <row r="141" ht="15.75" customHeight="1">
      <c r="E141" s="62"/>
    </row>
    <row r="142" ht="15.75" customHeight="1">
      <c r="E142" s="62"/>
    </row>
    <row r="143" ht="15.75" customHeight="1">
      <c r="E143" s="62"/>
    </row>
    <row r="144" ht="15.75" customHeight="1">
      <c r="E144" s="62"/>
    </row>
    <row r="145" ht="15.75" customHeight="1">
      <c r="E145" s="62"/>
    </row>
    <row r="146" ht="15.75" customHeight="1">
      <c r="E146" s="62"/>
    </row>
    <row r="147" ht="15.75" customHeight="1">
      <c r="E147" s="62"/>
    </row>
    <row r="148" ht="15.75" customHeight="1">
      <c r="E148" s="62"/>
    </row>
    <row r="149" ht="15.75" customHeight="1">
      <c r="E149" s="62"/>
    </row>
    <row r="150" ht="15.75" customHeight="1">
      <c r="E150" s="62"/>
    </row>
    <row r="151" ht="15.75" customHeight="1">
      <c r="E151" s="62"/>
    </row>
    <row r="152" ht="15.75" customHeight="1">
      <c r="E152" s="62"/>
    </row>
    <row r="153" ht="15.75" customHeight="1">
      <c r="E153" s="62"/>
    </row>
    <row r="154" ht="15.75" customHeight="1">
      <c r="E154" s="62"/>
    </row>
    <row r="155" ht="15.75" customHeight="1">
      <c r="E155" s="62"/>
    </row>
    <row r="156" ht="15.75" customHeight="1">
      <c r="E156" s="62"/>
    </row>
    <row r="157" ht="15.75" customHeight="1">
      <c r="E157" s="62"/>
    </row>
    <row r="158" ht="15.75" customHeight="1">
      <c r="E158" s="62"/>
    </row>
    <row r="159" ht="15.75" customHeight="1">
      <c r="E159" s="62"/>
    </row>
    <row r="160" ht="15.75" customHeight="1">
      <c r="E160" s="62"/>
    </row>
    <row r="161" ht="15.75" customHeight="1">
      <c r="E161" s="62"/>
    </row>
    <row r="162" ht="15.75" customHeight="1">
      <c r="E162" s="62"/>
    </row>
    <row r="163" ht="15.75" customHeight="1">
      <c r="E163" s="62"/>
    </row>
    <row r="164" ht="15.75" customHeight="1">
      <c r="E164" s="62"/>
    </row>
    <row r="165" ht="15.75" customHeight="1">
      <c r="E165" s="62"/>
    </row>
    <row r="166" ht="15.75" customHeight="1">
      <c r="E166" s="62"/>
    </row>
    <row r="167" ht="15.75" customHeight="1">
      <c r="E167" s="62"/>
    </row>
    <row r="168" ht="15.75" customHeight="1">
      <c r="E168" s="62"/>
    </row>
    <row r="169" ht="15.75" customHeight="1">
      <c r="E169" s="62"/>
    </row>
    <row r="170" ht="15.75" customHeight="1">
      <c r="E170" s="62"/>
    </row>
    <row r="171" ht="15.75" customHeight="1">
      <c r="E171" s="62"/>
    </row>
    <row r="172" ht="15.75" customHeight="1">
      <c r="E172" s="62"/>
    </row>
    <row r="173" ht="15.75" customHeight="1">
      <c r="E173" s="62"/>
    </row>
    <row r="174" ht="15.75" customHeight="1">
      <c r="E174" s="62"/>
    </row>
    <row r="175" ht="15.75" customHeight="1">
      <c r="E175" s="62"/>
    </row>
    <row r="176" ht="15.75" customHeight="1">
      <c r="E176" s="62"/>
    </row>
    <row r="177" ht="15.75" customHeight="1">
      <c r="E177" s="62"/>
    </row>
    <row r="178" ht="15.75" customHeight="1">
      <c r="E178" s="62"/>
    </row>
    <row r="179" ht="15.75" customHeight="1">
      <c r="E179" s="62"/>
    </row>
    <row r="180" ht="15.75" customHeight="1">
      <c r="E180" s="62"/>
    </row>
    <row r="181" ht="15.75" customHeight="1">
      <c r="E181" s="62"/>
    </row>
    <row r="182" ht="15.75" customHeight="1">
      <c r="E182" s="62"/>
    </row>
    <row r="183" ht="15.75" customHeight="1">
      <c r="E183" s="62"/>
    </row>
    <row r="184" ht="15.75" customHeight="1">
      <c r="E184" s="62"/>
    </row>
    <row r="185" ht="15.75" customHeight="1">
      <c r="E185" s="62"/>
    </row>
    <row r="186" ht="15.75" customHeight="1">
      <c r="E186" s="62"/>
    </row>
    <row r="187" ht="15.75" customHeight="1">
      <c r="E187" s="62"/>
    </row>
    <row r="188" ht="15.75" customHeight="1">
      <c r="E188" s="62"/>
    </row>
    <row r="189" ht="15.75" customHeight="1">
      <c r="E189" s="62"/>
    </row>
    <row r="190" ht="15.75" customHeight="1">
      <c r="E190" s="62"/>
    </row>
    <row r="191" ht="15.75" customHeight="1">
      <c r="E191" s="62"/>
    </row>
    <row r="192" ht="15.75" customHeight="1">
      <c r="E192" s="62"/>
    </row>
    <row r="193" ht="15.75" customHeight="1">
      <c r="E193" s="62"/>
    </row>
    <row r="194" ht="15.75" customHeight="1">
      <c r="E194" s="62"/>
    </row>
    <row r="195" ht="15.75" customHeight="1">
      <c r="E195" s="62"/>
    </row>
    <row r="196" ht="15.75" customHeight="1">
      <c r="E196" s="62"/>
    </row>
    <row r="197" ht="15.75" customHeight="1">
      <c r="E197" s="62"/>
    </row>
    <row r="198" ht="15.75" customHeight="1">
      <c r="E198" s="62"/>
    </row>
    <row r="199" ht="15.75" customHeight="1">
      <c r="E199" s="62"/>
    </row>
    <row r="200" ht="15.75" customHeight="1">
      <c r="E200" s="62"/>
    </row>
    <row r="201" ht="15.75" customHeight="1">
      <c r="E201" s="62"/>
    </row>
    <row r="202" ht="15.75" customHeight="1">
      <c r="E202" s="62"/>
    </row>
    <row r="203" ht="15.75" customHeight="1">
      <c r="E203" s="62"/>
    </row>
    <row r="204" ht="15.75" customHeight="1">
      <c r="E204" s="62"/>
    </row>
    <row r="205" ht="15.75" customHeight="1">
      <c r="E205" s="62"/>
    </row>
    <row r="206" ht="15.75" customHeight="1">
      <c r="E206" s="62"/>
    </row>
    <row r="207" ht="15.75" customHeight="1">
      <c r="E207" s="62"/>
    </row>
    <row r="208" ht="15.75" customHeight="1">
      <c r="E208" s="62"/>
    </row>
    <row r="209" ht="15.75" customHeight="1">
      <c r="E209" s="62"/>
    </row>
    <row r="210" ht="15.75" customHeight="1">
      <c r="E210" s="62"/>
    </row>
    <row r="211" ht="15.75" customHeight="1">
      <c r="E211" s="62"/>
    </row>
    <row r="212" ht="15.75" customHeight="1">
      <c r="E212" s="62"/>
    </row>
    <row r="213" ht="15.75" customHeight="1">
      <c r="E213" s="62"/>
    </row>
    <row r="214" ht="15.75" customHeight="1">
      <c r="E214" s="62"/>
    </row>
    <row r="215" ht="15.75" customHeight="1">
      <c r="E215" s="62"/>
    </row>
    <row r="216" ht="15.75" customHeight="1">
      <c r="E216" s="62"/>
    </row>
    <row r="217" ht="15.75" customHeight="1">
      <c r="E217" s="62"/>
    </row>
    <row r="218" ht="15.75" customHeight="1">
      <c r="E218" s="62"/>
    </row>
    <row r="219" ht="15.75" customHeight="1">
      <c r="E219" s="62"/>
    </row>
    <row r="220" ht="15.75" customHeight="1">
      <c r="E220" s="62"/>
    </row>
    <row r="221" ht="15.75" customHeight="1">
      <c r="E221" s="62"/>
    </row>
    <row r="222" ht="15.75" customHeight="1">
      <c r="E222" s="62"/>
    </row>
    <row r="223" ht="15.75" customHeight="1">
      <c r="E223" s="62"/>
    </row>
    <row r="224" ht="15.75" customHeight="1">
      <c r="E224" s="62"/>
    </row>
    <row r="225" ht="15.75" customHeight="1">
      <c r="E225" s="62"/>
    </row>
    <row r="226" ht="15.75" customHeight="1">
      <c r="E226" s="62"/>
    </row>
    <row r="227" ht="15.75" customHeight="1">
      <c r="E227" s="62"/>
    </row>
    <row r="228" ht="15.75" customHeight="1">
      <c r="E228" s="62"/>
    </row>
    <row r="229" ht="15.75" customHeight="1">
      <c r="E229" s="62"/>
    </row>
    <row r="230" ht="15.75" customHeight="1">
      <c r="E230" s="62"/>
    </row>
    <row r="231" ht="15.75" customHeight="1">
      <c r="E231" s="62"/>
    </row>
    <row r="232" ht="15.75" customHeight="1">
      <c r="E232" s="62"/>
    </row>
    <row r="233" ht="15.75" customHeight="1">
      <c r="E233" s="62"/>
    </row>
    <row r="234" ht="15.75" customHeight="1">
      <c r="E234" s="62"/>
    </row>
    <row r="235" ht="15.75" customHeight="1">
      <c r="E235" s="62"/>
    </row>
    <row r="236" ht="15.75" customHeight="1">
      <c r="E236" s="62"/>
    </row>
    <row r="237" ht="15.75" customHeight="1">
      <c r="E237" s="62"/>
    </row>
    <row r="238" ht="15.75" customHeight="1">
      <c r="E238" s="62"/>
    </row>
    <row r="239" ht="15.75" customHeight="1">
      <c r="E239" s="62"/>
    </row>
    <row r="240" ht="15.75" customHeight="1">
      <c r="E240" s="62"/>
    </row>
    <row r="241" ht="15.75" customHeight="1">
      <c r="E241" s="62"/>
    </row>
    <row r="242" ht="15.75" customHeight="1">
      <c r="E242" s="62"/>
    </row>
    <row r="243" ht="15.75" customHeight="1">
      <c r="E243" s="62"/>
    </row>
    <row r="244" ht="15.75" customHeight="1">
      <c r="E244" s="62"/>
    </row>
    <row r="245" ht="15.75" customHeight="1">
      <c r="E245" s="62"/>
    </row>
    <row r="246" ht="15.75" customHeight="1">
      <c r="E246" s="62"/>
    </row>
    <row r="247" ht="15.75" customHeight="1">
      <c r="E247" s="62"/>
    </row>
    <row r="248" ht="15.75" customHeight="1">
      <c r="E248" s="62"/>
    </row>
    <row r="249" ht="15.75" customHeight="1">
      <c r="E249" s="62"/>
    </row>
    <row r="250" ht="15.75" customHeight="1">
      <c r="E250" s="62"/>
    </row>
    <row r="251" ht="15.75" customHeight="1">
      <c r="E251" s="62"/>
    </row>
    <row r="252" ht="15.75" customHeight="1">
      <c r="E252" s="62"/>
    </row>
    <row r="253" ht="15.75" customHeight="1">
      <c r="E253" s="62"/>
    </row>
    <row r="254" ht="15.75" customHeight="1">
      <c r="E254" s="62"/>
    </row>
    <row r="255" ht="15.75" customHeight="1">
      <c r="E255" s="62"/>
    </row>
    <row r="256" ht="15.75" customHeight="1">
      <c r="E256" s="62"/>
    </row>
    <row r="257" ht="15.75" customHeight="1">
      <c r="E257" s="62"/>
    </row>
    <row r="258" ht="15.75" customHeight="1">
      <c r="E258" s="62"/>
    </row>
    <row r="259" ht="15.75" customHeight="1">
      <c r="E259" s="62"/>
    </row>
    <row r="260" ht="15.75" customHeight="1">
      <c r="E260" s="62"/>
    </row>
    <row r="261" ht="15.75" customHeight="1">
      <c r="E261" s="62"/>
    </row>
    <row r="262" ht="15.75" customHeight="1">
      <c r="E262" s="62"/>
    </row>
    <row r="263" ht="15.75" customHeight="1">
      <c r="E263" s="62"/>
    </row>
    <row r="264" ht="15.75" customHeight="1">
      <c r="E264" s="62"/>
    </row>
    <row r="265" ht="15.75" customHeight="1">
      <c r="E265" s="62"/>
    </row>
    <row r="266" ht="15.75" customHeight="1">
      <c r="E266" s="62"/>
    </row>
    <row r="267" ht="15.75" customHeight="1">
      <c r="E267" s="62"/>
    </row>
    <row r="268" ht="15.75" customHeight="1">
      <c r="E268" s="62"/>
    </row>
    <row r="269" ht="15.75" customHeight="1">
      <c r="E269" s="62"/>
    </row>
    <row r="270" ht="15.75" customHeight="1">
      <c r="E270" s="62"/>
    </row>
    <row r="271" ht="15.75" customHeight="1">
      <c r="E271" s="62"/>
    </row>
    <row r="272" ht="15.75" customHeight="1">
      <c r="E272" s="62"/>
    </row>
    <row r="273" ht="15.75" customHeight="1">
      <c r="E273" s="62"/>
    </row>
    <row r="274" ht="15.75" customHeight="1">
      <c r="E274" s="62"/>
    </row>
    <row r="275" ht="15.75" customHeight="1">
      <c r="E275" s="62"/>
    </row>
    <row r="276" ht="15.75" customHeight="1">
      <c r="E276" s="62"/>
    </row>
    <row r="277" ht="15.75" customHeight="1">
      <c r="E277" s="62"/>
    </row>
    <row r="278" ht="15.75" customHeight="1">
      <c r="E278" s="62"/>
    </row>
    <row r="279" ht="15.75" customHeight="1">
      <c r="E279" s="62"/>
    </row>
    <row r="280" ht="15.75" customHeight="1">
      <c r="E280" s="62"/>
    </row>
    <row r="281" ht="15.75" customHeight="1">
      <c r="E281" s="62"/>
    </row>
    <row r="282" ht="15.75" customHeight="1">
      <c r="E282" s="62"/>
    </row>
    <row r="283" ht="15.75" customHeight="1">
      <c r="E283" s="62"/>
    </row>
    <row r="284" ht="15.75" customHeight="1">
      <c r="E284" s="62"/>
    </row>
    <row r="285" ht="15.75" customHeight="1">
      <c r="E285" s="62"/>
    </row>
    <row r="286" ht="15.75" customHeight="1">
      <c r="E286" s="62"/>
    </row>
    <row r="287" ht="15.75" customHeight="1">
      <c r="E287" s="62"/>
    </row>
    <row r="288" ht="15.75" customHeight="1">
      <c r="E288" s="62"/>
    </row>
    <row r="289" ht="15.75" customHeight="1">
      <c r="E289" s="62"/>
    </row>
    <row r="290" ht="15.75" customHeight="1">
      <c r="E290" s="62"/>
    </row>
    <row r="291" ht="15.75" customHeight="1">
      <c r="E291" s="62"/>
    </row>
    <row r="292" ht="15.75" customHeight="1">
      <c r="E292" s="62"/>
    </row>
    <row r="293" ht="15.75" customHeight="1">
      <c r="E293" s="62"/>
    </row>
    <row r="294" ht="15.75" customHeight="1">
      <c r="E294" s="62"/>
    </row>
    <row r="295" ht="15.75" customHeight="1">
      <c r="E295" s="62"/>
    </row>
    <row r="296" ht="15.75" customHeight="1">
      <c r="E296" s="62"/>
    </row>
    <row r="297" ht="15.75" customHeight="1">
      <c r="E297" s="62"/>
    </row>
    <row r="298" ht="15.75" customHeight="1">
      <c r="E298" s="62"/>
    </row>
    <row r="299" ht="15.75" customHeight="1">
      <c r="E299" s="62"/>
    </row>
    <row r="300" ht="15.75" customHeight="1">
      <c r="E300" s="62"/>
    </row>
    <row r="301" ht="15.75" customHeight="1">
      <c r="E301" s="62"/>
    </row>
    <row r="302" ht="15.75" customHeight="1">
      <c r="E302" s="62"/>
    </row>
    <row r="303" ht="15.75" customHeight="1">
      <c r="E303" s="62"/>
    </row>
    <row r="304" ht="15.75" customHeight="1">
      <c r="E304" s="62"/>
    </row>
    <row r="305" ht="15.75" customHeight="1">
      <c r="E305" s="62"/>
    </row>
    <row r="306" ht="15.75" customHeight="1">
      <c r="E306" s="62"/>
    </row>
    <row r="307" ht="15.75" customHeight="1">
      <c r="E307" s="62"/>
    </row>
    <row r="308" ht="15.75" customHeight="1">
      <c r="E308" s="62"/>
    </row>
    <row r="309" ht="15.75" customHeight="1">
      <c r="E309" s="62"/>
    </row>
    <row r="310" ht="15.75" customHeight="1">
      <c r="E310" s="62"/>
    </row>
    <row r="311" ht="15.75" customHeight="1">
      <c r="E311" s="62"/>
    </row>
    <row r="312" ht="15.75" customHeight="1">
      <c r="E312" s="62"/>
    </row>
    <row r="313" ht="15.75" customHeight="1">
      <c r="E313" s="62"/>
    </row>
    <row r="314" ht="15.75" customHeight="1">
      <c r="E314" s="62"/>
    </row>
    <row r="315" ht="15.75" customHeight="1">
      <c r="E315" s="62"/>
    </row>
    <row r="316" ht="15.75" customHeight="1">
      <c r="E316" s="62"/>
    </row>
    <row r="317" ht="15.75" customHeight="1">
      <c r="E317" s="62"/>
    </row>
    <row r="318" ht="15.75" customHeight="1">
      <c r="E318" s="62"/>
    </row>
    <row r="319" ht="15.75" customHeight="1">
      <c r="E319" s="62"/>
    </row>
    <row r="320" ht="15.75" customHeight="1">
      <c r="E320" s="62"/>
    </row>
    <row r="321" ht="15.75" customHeight="1">
      <c r="E321" s="62"/>
    </row>
    <row r="322" ht="15.75" customHeight="1">
      <c r="E322" s="62"/>
    </row>
    <row r="323" ht="15.75" customHeight="1">
      <c r="E323" s="62"/>
    </row>
    <row r="324" ht="15.75" customHeight="1">
      <c r="E324" s="62"/>
    </row>
    <row r="325" ht="15.75" customHeight="1">
      <c r="E325" s="62"/>
    </row>
    <row r="326" ht="15.75" customHeight="1">
      <c r="E326" s="62"/>
    </row>
    <row r="327" ht="15.75" customHeight="1">
      <c r="E327" s="62"/>
    </row>
    <row r="328" ht="15.75" customHeight="1">
      <c r="E328" s="62"/>
    </row>
    <row r="329" ht="15.75" customHeight="1">
      <c r="E329" s="62"/>
    </row>
    <row r="330" ht="15.75" customHeight="1">
      <c r="E330" s="62"/>
    </row>
    <row r="331" ht="15.75" customHeight="1">
      <c r="E331" s="62"/>
    </row>
    <row r="332" ht="15.75" customHeight="1">
      <c r="E332" s="62"/>
    </row>
    <row r="333" ht="15.75" customHeight="1">
      <c r="E333" s="62"/>
    </row>
    <row r="334" ht="15.75" customHeight="1">
      <c r="E334" s="62"/>
    </row>
    <row r="335" ht="15.75" customHeight="1">
      <c r="E335" s="62"/>
    </row>
    <row r="336" ht="15.75" customHeight="1">
      <c r="E336" s="62"/>
    </row>
    <row r="337" ht="15.75" customHeight="1">
      <c r="E337" s="62"/>
    </row>
    <row r="338" ht="15.75" customHeight="1">
      <c r="E338" s="62"/>
    </row>
    <row r="339" ht="15.75" customHeight="1">
      <c r="E339" s="62"/>
    </row>
    <row r="340" ht="15.75" customHeight="1">
      <c r="E340" s="62"/>
    </row>
    <row r="341" ht="15.75" customHeight="1">
      <c r="E341" s="62"/>
    </row>
    <row r="342" ht="15.75" customHeight="1">
      <c r="E342" s="62"/>
    </row>
    <row r="343" ht="15.75" customHeight="1">
      <c r="E343" s="62"/>
    </row>
    <row r="344" ht="15.75" customHeight="1">
      <c r="E344" s="62"/>
    </row>
    <row r="345" ht="15.75" customHeight="1">
      <c r="E345" s="62"/>
    </row>
    <row r="346" ht="15.75" customHeight="1">
      <c r="E346" s="62"/>
    </row>
    <row r="347" ht="15.75" customHeight="1">
      <c r="E347" s="62"/>
    </row>
    <row r="348" ht="15.75" customHeight="1">
      <c r="E348" s="62"/>
    </row>
    <row r="349" ht="15.75" customHeight="1">
      <c r="E349" s="62"/>
    </row>
    <row r="350" ht="15.75" customHeight="1">
      <c r="E350" s="62"/>
    </row>
    <row r="351" ht="15.75" customHeight="1">
      <c r="E351" s="62"/>
    </row>
    <row r="352" ht="15.75" customHeight="1">
      <c r="E352" s="62"/>
    </row>
    <row r="353" ht="15.75" customHeight="1">
      <c r="E353" s="62"/>
    </row>
    <row r="354" ht="15.75" customHeight="1">
      <c r="E354" s="62"/>
    </row>
    <row r="355" ht="15.75" customHeight="1">
      <c r="E355" s="62"/>
    </row>
    <row r="356" ht="15.75" customHeight="1">
      <c r="E356" s="62"/>
    </row>
    <row r="357" ht="15.75" customHeight="1">
      <c r="E357" s="62"/>
    </row>
    <row r="358" ht="15.75" customHeight="1">
      <c r="E358" s="62"/>
    </row>
    <row r="359" ht="15.75" customHeight="1">
      <c r="E359" s="62"/>
    </row>
    <row r="360" ht="15.75" customHeight="1">
      <c r="E360" s="62"/>
    </row>
    <row r="361" ht="15.75" customHeight="1">
      <c r="E361" s="62"/>
    </row>
    <row r="362" ht="15.75" customHeight="1">
      <c r="E362" s="62"/>
    </row>
    <row r="363" ht="15.75" customHeight="1">
      <c r="E363" s="62"/>
    </row>
    <row r="364" ht="15.75" customHeight="1">
      <c r="E364" s="62"/>
    </row>
    <row r="365" ht="15.75" customHeight="1">
      <c r="E365" s="62"/>
    </row>
    <row r="366" ht="15.75" customHeight="1">
      <c r="E366" s="62"/>
    </row>
    <row r="367" ht="15.75" customHeight="1">
      <c r="E367" s="62"/>
    </row>
    <row r="368" ht="15.75" customHeight="1">
      <c r="E368" s="62"/>
    </row>
    <row r="369" ht="15.75" customHeight="1">
      <c r="E369" s="62"/>
    </row>
    <row r="370" ht="15.75" customHeight="1">
      <c r="E370" s="62"/>
    </row>
    <row r="371" ht="15.75" customHeight="1">
      <c r="E371" s="62"/>
    </row>
    <row r="372" ht="15.75" customHeight="1">
      <c r="E372" s="62"/>
    </row>
    <row r="373" ht="15.75" customHeight="1">
      <c r="E373" s="62"/>
    </row>
    <row r="374" ht="15.75" customHeight="1">
      <c r="E374" s="62"/>
    </row>
    <row r="375" ht="15.75" customHeight="1">
      <c r="E375" s="62"/>
    </row>
    <row r="376" ht="15.75" customHeight="1">
      <c r="E376" s="62"/>
    </row>
    <row r="377" ht="15.75" customHeight="1">
      <c r="E377" s="62"/>
    </row>
    <row r="378" ht="15.75" customHeight="1">
      <c r="E378" s="62"/>
    </row>
    <row r="379" ht="15.75" customHeight="1">
      <c r="E379" s="62"/>
    </row>
    <row r="380" ht="15.75" customHeight="1">
      <c r="E380" s="62"/>
    </row>
    <row r="381" ht="15.75" customHeight="1">
      <c r="E381" s="62"/>
    </row>
    <row r="382" ht="15.75" customHeight="1">
      <c r="E382" s="62"/>
    </row>
    <row r="383" ht="15.75" customHeight="1">
      <c r="E383" s="62"/>
    </row>
    <row r="384" ht="15.75" customHeight="1">
      <c r="E384" s="62"/>
    </row>
    <row r="385" ht="15.75" customHeight="1">
      <c r="E385" s="62"/>
    </row>
    <row r="386" ht="15.75" customHeight="1">
      <c r="E386" s="62"/>
    </row>
    <row r="387" ht="15.75" customHeight="1">
      <c r="E387" s="62"/>
    </row>
    <row r="388" ht="15.75" customHeight="1">
      <c r="E388" s="62"/>
    </row>
    <row r="389" ht="15.75" customHeight="1">
      <c r="E389" s="62"/>
    </row>
    <row r="390" ht="15.75" customHeight="1">
      <c r="E390" s="62"/>
    </row>
    <row r="391" ht="15.75" customHeight="1">
      <c r="E391" s="62"/>
    </row>
    <row r="392" ht="15.75" customHeight="1">
      <c r="E392" s="62"/>
    </row>
    <row r="393" ht="15.75" customHeight="1">
      <c r="E393" s="62"/>
    </row>
    <row r="394" ht="15.75" customHeight="1">
      <c r="E394" s="62"/>
    </row>
    <row r="395" ht="15.75" customHeight="1">
      <c r="E395" s="62"/>
    </row>
    <row r="396" ht="15.75" customHeight="1">
      <c r="E396" s="62"/>
    </row>
    <row r="397" ht="15.75" customHeight="1">
      <c r="E397" s="62"/>
    </row>
    <row r="398" ht="15.75" customHeight="1">
      <c r="E398" s="62"/>
    </row>
    <row r="399" ht="15.75" customHeight="1">
      <c r="E399" s="62"/>
    </row>
    <row r="400" ht="15.75" customHeight="1">
      <c r="E400" s="62"/>
    </row>
    <row r="401" ht="15.75" customHeight="1">
      <c r="E401" s="62"/>
    </row>
    <row r="402" ht="15.75" customHeight="1">
      <c r="E402" s="62"/>
    </row>
    <row r="403" ht="15.75" customHeight="1">
      <c r="E403" s="62"/>
    </row>
    <row r="404" ht="15.75" customHeight="1">
      <c r="E404" s="62"/>
    </row>
    <row r="405" ht="15.75" customHeight="1">
      <c r="E405" s="62"/>
    </row>
    <row r="406" ht="15.75" customHeight="1">
      <c r="E406" s="62"/>
    </row>
    <row r="407" ht="15.75" customHeight="1">
      <c r="E407" s="62"/>
    </row>
    <row r="408" ht="15.75" customHeight="1">
      <c r="E408" s="62"/>
    </row>
    <row r="409" ht="15.75" customHeight="1">
      <c r="E409" s="62"/>
    </row>
    <row r="410" ht="15.75" customHeight="1">
      <c r="E410" s="62"/>
    </row>
    <row r="411" ht="15.75" customHeight="1">
      <c r="E411" s="62"/>
    </row>
    <row r="412" ht="15.75" customHeight="1">
      <c r="E412" s="62"/>
    </row>
    <row r="413" ht="15.75" customHeight="1">
      <c r="E413" s="62"/>
    </row>
    <row r="414" ht="15.75" customHeight="1">
      <c r="E414" s="62"/>
    </row>
    <row r="415" ht="15.75" customHeight="1">
      <c r="E415" s="62"/>
    </row>
    <row r="416" ht="15.75" customHeight="1">
      <c r="E416" s="62"/>
    </row>
    <row r="417" ht="15.75" customHeight="1">
      <c r="E417" s="62"/>
    </row>
    <row r="418" ht="15.75" customHeight="1">
      <c r="E418" s="62"/>
    </row>
    <row r="419" ht="15.75" customHeight="1">
      <c r="E419" s="62"/>
    </row>
    <row r="420" ht="15.75" customHeight="1">
      <c r="E420" s="62"/>
    </row>
    <row r="421" ht="15.75" customHeight="1">
      <c r="E421" s="62"/>
    </row>
    <row r="422" ht="15.75" customHeight="1">
      <c r="E422" s="62"/>
    </row>
    <row r="423" ht="15.75" customHeight="1">
      <c r="E423" s="62"/>
    </row>
    <row r="424" ht="15.75" customHeight="1">
      <c r="E424" s="62"/>
    </row>
    <row r="425" ht="15.75" customHeight="1">
      <c r="E425" s="62"/>
    </row>
    <row r="426" ht="15.75" customHeight="1">
      <c r="E426" s="62"/>
    </row>
    <row r="427" ht="15.75" customHeight="1">
      <c r="E427" s="62"/>
    </row>
    <row r="428" ht="15.75" customHeight="1">
      <c r="E428" s="62"/>
    </row>
    <row r="429" ht="15.75" customHeight="1">
      <c r="E429" s="62"/>
    </row>
    <row r="430" ht="15.75" customHeight="1">
      <c r="E430" s="62"/>
    </row>
    <row r="431" ht="15.75" customHeight="1">
      <c r="E431" s="62"/>
    </row>
    <row r="432" ht="15.75" customHeight="1">
      <c r="E432" s="62"/>
    </row>
    <row r="433" ht="15.75" customHeight="1">
      <c r="E433" s="62"/>
    </row>
    <row r="434" ht="15.75" customHeight="1">
      <c r="E434" s="62"/>
    </row>
    <row r="435" ht="15.75" customHeight="1">
      <c r="E435" s="62"/>
    </row>
    <row r="436" ht="15.75" customHeight="1">
      <c r="E436" s="62"/>
    </row>
    <row r="437" ht="15.75" customHeight="1">
      <c r="E437" s="62"/>
    </row>
    <row r="438" ht="15.75" customHeight="1">
      <c r="E438" s="62"/>
    </row>
    <row r="439" ht="15.75" customHeight="1">
      <c r="E439" s="62"/>
    </row>
    <row r="440" ht="15.75" customHeight="1">
      <c r="E440" s="62"/>
    </row>
    <row r="441" ht="15.75" customHeight="1">
      <c r="E441" s="62"/>
    </row>
    <row r="442" ht="15.75" customHeight="1">
      <c r="E442" s="62"/>
    </row>
    <row r="443" ht="15.75" customHeight="1">
      <c r="E443" s="62"/>
    </row>
    <row r="444" ht="15.75" customHeight="1">
      <c r="E444" s="62"/>
    </row>
    <row r="445" ht="15.75" customHeight="1">
      <c r="E445" s="62"/>
    </row>
    <row r="446" ht="15.75" customHeight="1">
      <c r="E446" s="62"/>
    </row>
    <row r="447" ht="15.75" customHeight="1">
      <c r="E447" s="62"/>
    </row>
    <row r="448" ht="15.75" customHeight="1">
      <c r="E448" s="62"/>
    </row>
    <row r="449" ht="15.75" customHeight="1">
      <c r="E449" s="62"/>
    </row>
    <row r="450" ht="15.75" customHeight="1">
      <c r="E450" s="62"/>
    </row>
    <row r="451" ht="15.75" customHeight="1">
      <c r="E451" s="62"/>
    </row>
    <row r="452" ht="15.75" customHeight="1">
      <c r="E452" s="62"/>
    </row>
    <row r="453" ht="15.75" customHeight="1">
      <c r="E453" s="62"/>
    </row>
    <row r="454" ht="15.75" customHeight="1">
      <c r="E454" s="62"/>
    </row>
    <row r="455" ht="15.75" customHeight="1">
      <c r="E455" s="62"/>
    </row>
    <row r="456" ht="15.75" customHeight="1">
      <c r="E456" s="62"/>
    </row>
    <row r="457" ht="15.75" customHeight="1">
      <c r="E457" s="62"/>
    </row>
    <row r="458" ht="15.75" customHeight="1">
      <c r="E458" s="62"/>
    </row>
    <row r="459" ht="15.75" customHeight="1">
      <c r="E459" s="62"/>
    </row>
    <row r="460" ht="15.75" customHeight="1">
      <c r="E460" s="62"/>
    </row>
    <row r="461" ht="15.75" customHeight="1">
      <c r="E461" s="62"/>
    </row>
    <row r="462" ht="15.75" customHeight="1">
      <c r="E462" s="62"/>
    </row>
    <row r="463" ht="15.75" customHeight="1">
      <c r="E463" s="62"/>
    </row>
    <row r="464" ht="15.75" customHeight="1">
      <c r="E464" s="62"/>
    </row>
    <row r="465" ht="15.75" customHeight="1">
      <c r="E465" s="62"/>
    </row>
    <row r="466" ht="15.75" customHeight="1">
      <c r="E466" s="62"/>
    </row>
    <row r="467" ht="15.75" customHeight="1">
      <c r="E467" s="62"/>
    </row>
    <row r="468" ht="15.75" customHeight="1">
      <c r="E468" s="62"/>
    </row>
    <row r="469" ht="15.75" customHeight="1">
      <c r="E469" s="62"/>
    </row>
    <row r="470" ht="15.75" customHeight="1">
      <c r="E470" s="62"/>
    </row>
    <row r="471" ht="15.75" customHeight="1">
      <c r="E471" s="62"/>
    </row>
    <row r="472" ht="15.75" customHeight="1">
      <c r="E472" s="62"/>
    </row>
    <row r="473" ht="15.75" customHeight="1">
      <c r="E473" s="62"/>
    </row>
    <row r="474" ht="15.75" customHeight="1">
      <c r="E474" s="62"/>
    </row>
    <row r="475" ht="15.75" customHeight="1">
      <c r="E475" s="62"/>
    </row>
    <row r="476" ht="15.75" customHeight="1">
      <c r="E476" s="62"/>
    </row>
    <row r="477" ht="15.75" customHeight="1">
      <c r="E477" s="62"/>
    </row>
    <row r="478" ht="15.75" customHeight="1">
      <c r="E478" s="62"/>
    </row>
    <row r="479" ht="15.75" customHeight="1">
      <c r="E479" s="62"/>
    </row>
    <row r="480" ht="15.75" customHeight="1">
      <c r="E480" s="62"/>
    </row>
    <row r="481" ht="15.75" customHeight="1">
      <c r="E481" s="62"/>
    </row>
    <row r="482" ht="15.75" customHeight="1">
      <c r="E482" s="62"/>
    </row>
    <row r="483" ht="15.75" customHeight="1">
      <c r="E483" s="62"/>
    </row>
    <row r="484" ht="15.75" customHeight="1">
      <c r="E484" s="62"/>
    </row>
    <row r="485" ht="15.75" customHeight="1">
      <c r="E485" s="62"/>
    </row>
    <row r="486" ht="15.75" customHeight="1">
      <c r="E486" s="62"/>
    </row>
    <row r="487" ht="15.75" customHeight="1">
      <c r="E487" s="62"/>
    </row>
    <row r="488" ht="15.75" customHeight="1">
      <c r="E488" s="62"/>
    </row>
    <row r="489" ht="15.75" customHeight="1">
      <c r="E489" s="62"/>
    </row>
    <row r="490" ht="15.75" customHeight="1">
      <c r="E490" s="62"/>
    </row>
    <row r="491" ht="15.75" customHeight="1">
      <c r="E491" s="62"/>
    </row>
    <row r="492" ht="15.75" customHeight="1">
      <c r="E492" s="62"/>
    </row>
    <row r="493" ht="15.75" customHeight="1">
      <c r="E493" s="62"/>
    </row>
    <row r="494" ht="15.75" customHeight="1">
      <c r="E494" s="62"/>
    </row>
    <row r="495" ht="15.75" customHeight="1">
      <c r="E495" s="62"/>
    </row>
    <row r="496" ht="15.75" customHeight="1">
      <c r="E496" s="62"/>
    </row>
    <row r="497" ht="15.75" customHeight="1">
      <c r="E497" s="62"/>
    </row>
    <row r="498" ht="15.75" customHeight="1">
      <c r="E498" s="62"/>
    </row>
    <row r="499" ht="15.75" customHeight="1">
      <c r="E499" s="62"/>
    </row>
    <row r="500" ht="15.75" customHeight="1">
      <c r="E500" s="62"/>
    </row>
    <row r="501" ht="15.75" customHeight="1">
      <c r="E501" s="62"/>
    </row>
    <row r="502" ht="15.75" customHeight="1">
      <c r="E502" s="62"/>
    </row>
    <row r="503" ht="15.75" customHeight="1">
      <c r="E503" s="62"/>
    </row>
    <row r="504" ht="15.75" customHeight="1">
      <c r="E504" s="62"/>
    </row>
    <row r="505" ht="15.75" customHeight="1">
      <c r="E505" s="62"/>
    </row>
    <row r="506" ht="15.75" customHeight="1">
      <c r="E506" s="62"/>
    </row>
    <row r="507" ht="15.75" customHeight="1">
      <c r="E507" s="62"/>
    </row>
    <row r="508" ht="15.75" customHeight="1">
      <c r="E508" s="62"/>
    </row>
    <row r="509" ht="15.75" customHeight="1">
      <c r="E509" s="62"/>
    </row>
    <row r="510" ht="15.75" customHeight="1">
      <c r="E510" s="62"/>
    </row>
    <row r="511" ht="15.75" customHeight="1">
      <c r="E511" s="62"/>
    </row>
    <row r="512" ht="15.75" customHeight="1">
      <c r="E512" s="62"/>
    </row>
    <row r="513" ht="15.75" customHeight="1">
      <c r="E513" s="62"/>
    </row>
    <row r="514" ht="15.75" customHeight="1">
      <c r="E514" s="62"/>
    </row>
    <row r="515" ht="15.75" customHeight="1">
      <c r="E515" s="62"/>
    </row>
    <row r="516" ht="15.75" customHeight="1">
      <c r="E516" s="62"/>
    </row>
    <row r="517" ht="15.75" customHeight="1">
      <c r="E517" s="62"/>
    </row>
    <row r="518" ht="15.75" customHeight="1">
      <c r="E518" s="62"/>
    </row>
    <row r="519" ht="15.75" customHeight="1">
      <c r="E519" s="62"/>
    </row>
    <row r="520" ht="15.75" customHeight="1">
      <c r="E520" s="62"/>
    </row>
    <row r="521" ht="15.75" customHeight="1">
      <c r="E521" s="62"/>
    </row>
    <row r="522" ht="15.75" customHeight="1">
      <c r="E522" s="62"/>
    </row>
    <row r="523" ht="15.75" customHeight="1">
      <c r="E523" s="62"/>
    </row>
    <row r="524" ht="15.75" customHeight="1">
      <c r="E524" s="62"/>
    </row>
    <row r="525" ht="15.75" customHeight="1">
      <c r="E525" s="62"/>
    </row>
    <row r="526" ht="15.75" customHeight="1">
      <c r="E526" s="62"/>
    </row>
    <row r="527" ht="15.75" customHeight="1">
      <c r="E527" s="62"/>
    </row>
    <row r="528" ht="15.75" customHeight="1">
      <c r="E528" s="62"/>
    </row>
    <row r="529" ht="15.75" customHeight="1">
      <c r="E529" s="62"/>
    </row>
    <row r="530" ht="15.75" customHeight="1">
      <c r="E530" s="62"/>
    </row>
    <row r="531" ht="15.75" customHeight="1">
      <c r="E531" s="62"/>
    </row>
    <row r="532" ht="15.75" customHeight="1">
      <c r="E532" s="62"/>
    </row>
    <row r="533" ht="15.75" customHeight="1">
      <c r="E533" s="62"/>
    </row>
    <row r="534" ht="15.75" customHeight="1">
      <c r="E534" s="62"/>
    </row>
    <row r="535" ht="15.75" customHeight="1">
      <c r="E535" s="62"/>
    </row>
    <row r="536" ht="15.75" customHeight="1">
      <c r="E536" s="62"/>
    </row>
    <row r="537" ht="15.75" customHeight="1">
      <c r="E537" s="62"/>
    </row>
    <row r="538" ht="15.75" customHeight="1">
      <c r="E538" s="62"/>
    </row>
    <row r="539" ht="15.75" customHeight="1">
      <c r="E539" s="62"/>
    </row>
    <row r="540" ht="15.75" customHeight="1">
      <c r="E540" s="62"/>
    </row>
    <row r="541" ht="15.75" customHeight="1">
      <c r="E541" s="62"/>
    </row>
    <row r="542" ht="15.75" customHeight="1">
      <c r="E542" s="62"/>
    </row>
    <row r="543" ht="15.75" customHeight="1">
      <c r="E543" s="62"/>
    </row>
    <row r="544" ht="15.75" customHeight="1">
      <c r="E544" s="62"/>
    </row>
    <row r="545" ht="15.75" customHeight="1">
      <c r="E545" s="62"/>
    </row>
    <row r="546" ht="15.75" customHeight="1">
      <c r="E546" s="62"/>
    </row>
    <row r="547" ht="15.75" customHeight="1">
      <c r="E547" s="62"/>
    </row>
    <row r="548" ht="15.75" customHeight="1">
      <c r="E548" s="62"/>
    </row>
    <row r="549" ht="15.75" customHeight="1">
      <c r="E549" s="62"/>
    </row>
    <row r="550" ht="15.75" customHeight="1">
      <c r="E550" s="62"/>
    </row>
    <row r="551" ht="15.75" customHeight="1">
      <c r="E551" s="62"/>
    </row>
    <row r="552" ht="15.75" customHeight="1">
      <c r="E552" s="62"/>
    </row>
    <row r="553" ht="15.75" customHeight="1">
      <c r="E553" s="62"/>
    </row>
    <row r="554" ht="15.75" customHeight="1">
      <c r="E554" s="62"/>
    </row>
    <row r="555" ht="15.75" customHeight="1">
      <c r="E555" s="62"/>
    </row>
    <row r="556" ht="15.75" customHeight="1">
      <c r="E556" s="62"/>
    </row>
    <row r="557" ht="15.75" customHeight="1">
      <c r="E557" s="62"/>
    </row>
    <row r="558" ht="15.75" customHeight="1">
      <c r="E558" s="62"/>
    </row>
    <row r="559" ht="15.75" customHeight="1">
      <c r="E559" s="62"/>
    </row>
    <row r="560" ht="15.75" customHeight="1">
      <c r="E560" s="62"/>
    </row>
    <row r="561" ht="15.75" customHeight="1">
      <c r="E561" s="62"/>
    </row>
    <row r="562" ht="15.75" customHeight="1">
      <c r="E562" s="62"/>
    </row>
    <row r="563" ht="15.75" customHeight="1">
      <c r="E563" s="62"/>
    </row>
    <row r="564" ht="15.75" customHeight="1">
      <c r="E564" s="62"/>
    </row>
    <row r="565" ht="15.75" customHeight="1">
      <c r="E565" s="62"/>
    </row>
    <row r="566" ht="15.75" customHeight="1">
      <c r="E566" s="62"/>
    </row>
    <row r="567" ht="15.75" customHeight="1">
      <c r="E567" s="62"/>
    </row>
    <row r="568" ht="15.75" customHeight="1">
      <c r="E568" s="62"/>
    </row>
    <row r="569" ht="15.75" customHeight="1">
      <c r="E569" s="62"/>
    </row>
    <row r="570" ht="15.75" customHeight="1">
      <c r="E570" s="62"/>
    </row>
    <row r="571" ht="15.75" customHeight="1">
      <c r="E571" s="62"/>
    </row>
    <row r="572" ht="15.75" customHeight="1">
      <c r="E572" s="62"/>
    </row>
    <row r="573" ht="15.75" customHeight="1">
      <c r="E573" s="62"/>
    </row>
    <row r="574" ht="15.75" customHeight="1">
      <c r="E574" s="62"/>
    </row>
    <row r="575" ht="15.75" customHeight="1">
      <c r="E575" s="62"/>
    </row>
    <row r="576" ht="15.75" customHeight="1">
      <c r="E576" s="62"/>
    </row>
    <row r="577" ht="15.75" customHeight="1">
      <c r="E577" s="62"/>
    </row>
    <row r="578" ht="15.75" customHeight="1">
      <c r="E578" s="62"/>
    </row>
    <row r="579" ht="15.75" customHeight="1">
      <c r="E579" s="62"/>
    </row>
    <row r="580" ht="15.75" customHeight="1">
      <c r="E580" s="62"/>
    </row>
    <row r="581" ht="15.75" customHeight="1">
      <c r="E581" s="62"/>
    </row>
    <row r="582" ht="15.75" customHeight="1">
      <c r="E582" s="62"/>
    </row>
    <row r="583" ht="15.75" customHeight="1">
      <c r="E583" s="62"/>
    </row>
    <row r="584" ht="15.75" customHeight="1">
      <c r="E584" s="62"/>
    </row>
    <row r="585" ht="15.75" customHeight="1">
      <c r="E585" s="62"/>
    </row>
    <row r="586" ht="15.75" customHeight="1">
      <c r="E586" s="62"/>
    </row>
    <row r="587" ht="15.75" customHeight="1">
      <c r="E587" s="62"/>
    </row>
    <row r="588" ht="15.75" customHeight="1">
      <c r="E588" s="62"/>
    </row>
    <row r="589" ht="15.75" customHeight="1">
      <c r="E589" s="62"/>
    </row>
    <row r="590" ht="15.75" customHeight="1">
      <c r="E590" s="62"/>
    </row>
    <row r="591" ht="15.75" customHeight="1">
      <c r="E591" s="62"/>
    </row>
    <row r="592" ht="15.75" customHeight="1">
      <c r="E592" s="62"/>
    </row>
    <row r="593" ht="15.75" customHeight="1">
      <c r="E593" s="62"/>
    </row>
    <row r="594" ht="15.75" customHeight="1">
      <c r="E594" s="62"/>
    </row>
    <row r="595" ht="15.75" customHeight="1">
      <c r="E595" s="62"/>
    </row>
    <row r="596" ht="15.75" customHeight="1">
      <c r="E596" s="62"/>
    </row>
    <row r="597" ht="15.75" customHeight="1">
      <c r="E597" s="62"/>
    </row>
    <row r="598" ht="15.75" customHeight="1">
      <c r="E598" s="62"/>
    </row>
    <row r="599" ht="15.75" customHeight="1">
      <c r="E599" s="62"/>
    </row>
    <row r="600" ht="15.75" customHeight="1">
      <c r="E600" s="62"/>
    </row>
    <row r="601" ht="15.75" customHeight="1">
      <c r="E601" s="62"/>
    </row>
    <row r="602" ht="15.75" customHeight="1">
      <c r="E602" s="62"/>
    </row>
    <row r="603" ht="15.75" customHeight="1">
      <c r="E603" s="62"/>
    </row>
    <row r="604" ht="15.75" customHeight="1">
      <c r="E604" s="62"/>
    </row>
    <row r="605" ht="15.75" customHeight="1">
      <c r="E605" s="62"/>
    </row>
    <row r="606" ht="15.75" customHeight="1">
      <c r="E606" s="62"/>
    </row>
    <row r="607" ht="15.75" customHeight="1">
      <c r="E607" s="62"/>
    </row>
    <row r="608" ht="15.75" customHeight="1">
      <c r="E608" s="62"/>
    </row>
    <row r="609" ht="15.75" customHeight="1">
      <c r="E609" s="62"/>
    </row>
    <row r="610" ht="15.75" customHeight="1">
      <c r="E610" s="62"/>
    </row>
    <row r="611" ht="15.75" customHeight="1">
      <c r="E611" s="62"/>
    </row>
    <row r="612" ht="15.75" customHeight="1">
      <c r="E612" s="62"/>
    </row>
    <row r="613" ht="15.75" customHeight="1">
      <c r="E613" s="62"/>
    </row>
    <row r="614" ht="15.75" customHeight="1">
      <c r="E614" s="62"/>
    </row>
    <row r="615" ht="15.75" customHeight="1">
      <c r="E615" s="62"/>
    </row>
    <row r="616" ht="15.75" customHeight="1">
      <c r="E616" s="62"/>
    </row>
    <row r="617" ht="15.75" customHeight="1">
      <c r="E617" s="62"/>
    </row>
    <row r="618" ht="15.75" customHeight="1">
      <c r="E618" s="62"/>
    </row>
    <row r="619" ht="15.75" customHeight="1">
      <c r="E619" s="62"/>
    </row>
    <row r="620" ht="15.75" customHeight="1">
      <c r="E620" s="62"/>
    </row>
    <row r="621" ht="15.75" customHeight="1">
      <c r="E621" s="62"/>
    </row>
    <row r="622" ht="15.75" customHeight="1">
      <c r="E622" s="62"/>
    </row>
    <row r="623" ht="15.75" customHeight="1">
      <c r="E623" s="62"/>
    </row>
    <row r="624" ht="15.75" customHeight="1">
      <c r="E624" s="62"/>
    </row>
    <row r="625" ht="15.75" customHeight="1">
      <c r="E625" s="62"/>
    </row>
    <row r="626" ht="15.75" customHeight="1">
      <c r="E626" s="62"/>
    </row>
    <row r="627" ht="15.75" customHeight="1">
      <c r="E627" s="62"/>
    </row>
    <row r="628" ht="15.75" customHeight="1">
      <c r="E628" s="62"/>
    </row>
    <row r="629" ht="15.75" customHeight="1">
      <c r="E629" s="62"/>
    </row>
    <row r="630" ht="15.75" customHeight="1">
      <c r="E630" s="62"/>
    </row>
    <row r="631" ht="15.75" customHeight="1">
      <c r="E631" s="62"/>
    </row>
    <row r="632" ht="15.75" customHeight="1">
      <c r="E632" s="62"/>
    </row>
    <row r="633" ht="15.75" customHeight="1">
      <c r="E633" s="62"/>
    </row>
    <row r="634" ht="15.75" customHeight="1">
      <c r="E634" s="62"/>
    </row>
    <row r="635" ht="15.75" customHeight="1">
      <c r="E635" s="62"/>
    </row>
    <row r="636" ht="15.75" customHeight="1">
      <c r="E636" s="62"/>
    </row>
    <row r="637" ht="15.75" customHeight="1">
      <c r="E637" s="62"/>
    </row>
    <row r="638" ht="15.75" customHeight="1">
      <c r="E638" s="62"/>
    </row>
    <row r="639" ht="15.75" customHeight="1">
      <c r="E639" s="62"/>
    </row>
    <row r="640" ht="15.75" customHeight="1">
      <c r="E640" s="62"/>
    </row>
    <row r="641" ht="15.75" customHeight="1">
      <c r="E641" s="62"/>
    </row>
    <row r="642" ht="15.75" customHeight="1">
      <c r="E642" s="62"/>
    </row>
    <row r="643" ht="15.75" customHeight="1">
      <c r="E643" s="62"/>
    </row>
    <row r="644" ht="15.75" customHeight="1">
      <c r="E644" s="62"/>
    </row>
    <row r="645" ht="15.75" customHeight="1">
      <c r="E645" s="62"/>
    </row>
    <row r="646" ht="15.75" customHeight="1">
      <c r="E646" s="62"/>
    </row>
    <row r="647" ht="15.75" customHeight="1">
      <c r="E647" s="62"/>
    </row>
    <row r="648" ht="15.75" customHeight="1">
      <c r="E648" s="62"/>
    </row>
    <row r="649" ht="15.75" customHeight="1">
      <c r="E649" s="62"/>
    </row>
    <row r="650" ht="15.75" customHeight="1">
      <c r="E650" s="62"/>
    </row>
    <row r="651" ht="15.75" customHeight="1">
      <c r="E651" s="62"/>
    </row>
    <row r="652" ht="15.75" customHeight="1">
      <c r="E652" s="62"/>
    </row>
    <row r="653" ht="15.75" customHeight="1">
      <c r="E653" s="62"/>
    </row>
    <row r="654" ht="15.75" customHeight="1">
      <c r="E654" s="62"/>
    </row>
    <row r="655" ht="15.75" customHeight="1">
      <c r="E655" s="62"/>
    </row>
    <row r="656" ht="15.75" customHeight="1">
      <c r="E656" s="62"/>
    </row>
    <row r="657" ht="15.75" customHeight="1">
      <c r="E657" s="62"/>
    </row>
    <row r="658" ht="15.75" customHeight="1">
      <c r="E658" s="62"/>
    </row>
    <row r="659" ht="15.75" customHeight="1">
      <c r="E659" s="62"/>
    </row>
    <row r="660" ht="15.75" customHeight="1">
      <c r="E660" s="62"/>
    </row>
    <row r="661" ht="15.75" customHeight="1">
      <c r="E661" s="62"/>
    </row>
    <row r="662" ht="15.75" customHeight="1">
      <c r="E662" s="62"/>
    </row>
    <row r="663" ht="15.75" customHeight="1">
      <c r="E663" s="62"/>
    </row>
    <row r="664" ht="15.75" customHeight="1">
      <c r="E664" s="62"/>
    </row>
    <row r="665" ht="15.75" customHeight="1">
      <c r="E665" s="62"/>
    </row>
    <row r="666" ht="15.75" customHeight="1">
      <c r="E666" s="62"/>
    </row>
    <row r="667" ht="15.75" customHeight="1">
      <c r="E667" s="62"/>
    </row>
    <row r="668" ht="15.75" customHeight="1">
      <c r="E668" s="62"/>
    </row>
    <row r="669" ht="15.75" customHeight="1">
      <c r="E669" s="62"/>
    </row>
    <row r="670" ht="15.75" customHeight="1">
      <c r="E670" s="62"/>
    </row>
    <row r="671" ht="15.75" customHeight="1">
      <c r="E671" s="62"/>
    </row>
    <row r="672" ht="15.75" customHeight="1">
      <c r="E672" s="62"/>
    </row>
    <row r="673" ht="15.75" customHeight="1">
      <c r="E673" s="62"/>
    </row>
    <row r="674" ht="15.75" customHeight="1">
      <c r="E674" s="62"/>
    </row>
    <row r="675" ht="15.75" customHeight="1">
      <c r="E675" s="62"/>
    </row>
    <row r="676" ht="15.75" customHeight="1">
      <c r="E676" s="62"/>
    </row>
    <row r="677" ht="15.75" customHeight="1">
      <c r="E677" s="62"/>
    </row>
    <row r="678" ht="15.75" customHeight="1">
      <c r="E678" s="62"/>
    </row>
    <row r="679" ht="15.75" customHeight="1">
      <c r="E679" s="62"/>
    </row>
    <row r="680" ht="15.75" customHeight="1">
      <c r="E680" s="62"/>
    </row>
    <row r="681" ht="15.75" customHeight="1">
      <c r="E681" s="62"/>
    </row>
    <row r="682" ht="15.75" customHeight="1">
      <c r="E682" s="62"/>
    </row>
    <row r="683" ht="15.75" customHeight="1">
      <c r="E683" s="62"/>
    </row>
    <row r="684" ht="15.75" customHeight="1">
      <c r="E684" s="62"/>
    </row>
    <row r="685" ht="15.75" customHeight="1">
      <c r="E685" s="62"/>
    </row>
    <row r="686" ht="15.75" customHeight="1">
      <c r="E686" s="62"/>
    </row>
    <row r="687" ht="15.75" customHeight="1">
      <c r="E687" s="62"/>
    </row>
    <row r="688" ht="15.75" customHeight="1">
      <c r="E688" s="62"/>
    </row>
    <row r="689" ht="15.75" customHeight="1">
      <c r="E689" s="62"/>
    </row>
    <row r="690" ht="15.75" customHeight="1">
      <c r="E690" s="62"/>
    </row>
    <row r="691" ht="15.75" customHeight="1">
      <c r="E691" s="62"/>
    </row>
    <row r="692" ht="15.75" customHeight="1">
      <c r="E692" s="62"/>
    </row>
    <row r="693" ht="15.75" customHeight="1">
      <c r="E693" s="62"/>
    </row>
    <row r="694" ht="15.75" customHeight="1">
      <c r="E694" s="62"/>
    </row>
    <row r="695" ht="15.75" customHeight="1">
      <c r="E695" s="62"/>
    </row>
    <row r="696" ht="15.75" customHeight="1">
      <c r="E696" s="62"/>
    </row>
    <row r="697" ht="15.75" customHeight="1">
      <c r="E697" s="62"/>
    </row>
    <row r="698" ht="15.75" customHeight="1">
      <c r="E698" s="62"/>
    </row>
    <row r="699" ht="15.75" customHeight="1">
      <c r="E699" s="62"/>
    </row>
    <row r="700" ht="15.75" customHeight="1">
      <c r="E700" s="62"/>
    </row>
    <row r="701" ht="15.75" customHeight="1">
      <c r="E701" s="62"/>
    </row>
    <row r="702" ht="15.75" customHeight="1">
      <c r="E702" s="62"/>
    </row>
    <row r="703" ht="15.75" customHeight="1">
      <c r="E703" s="62"/>
    </row>
    <row r="704" ht="15.75" customHeight="1">
      <c r="E704" s="62"/>
    </row>
    <row r="705" ht="15.75" customHeight="1">
      <c r="E705" s="62"/>
    </row>
    <row r="706" ht="15.75" customHeight="1">
      <c r="E706" s="62"/>
    </row>
    <row r="707" ht="15.75" customHeight="1">
      <c r="E707" s="62"/>
    </row>
    <row r="708" ht="15.75" customHeight="1">
      <c r="E708" s="62"/>
    </row>
    <row r="709" ht="15.75" customHeight="1">
      <c r="E709" s="62"/>
    </row>
    <row r="710" ht="15.75" customHeight="1">
      <c r="E710" s="62"/>
    </row>
    <row r="711" ht="15.75" customHeight="1">
      <c r="E711" s="62"/>
    </row>
    <row r="712" ht="15.75" customHeight="1">
      <c r="E712" s="62"/>
    </row>
    <row r="713" ht="15.75" customHeight="1">
      <c r="E713" s="62"/>
    </row>
    <row r="714" ht="15.75" customHeight="1">
      <c r="E714" s="62"/>
    </row>
    <row r="715" ht="15.75" customHeight="1">
      <c r="E715" s="62"/>
    </row>
    <row r="716" ht="15.75" customHeight="1">
      <c r="E716" s="62"/>
    </row>
    <row r="717" ht="15.75" customHeight="1">
      <c r="E717" s="62"/>
    </row>
    <row r="718" ht="15.75" customHeight="1">
      <c r="E718" s="62"/>
    </row>
    <row r="719" ht="15.75" customHeight="1">
      <c r="E719" s="62"/>
    </row>
    <row r="720" ht="15.75" customHeight="1">
      <c r="E720" s="62"/>
    </row>
    <row r="721" ht="15.75" customHeight="1">
      <c r="E721" s="62"/>
    </row>
    <row r="722" ht="15.75" customHeight="1">
      <c r="E722" s="62"/>
    </row>
    <row r="723" ht="15.75" customHeight="1">
      <c r="E723" s="62"/>
    </row>
    <row r="724" ht="15.75" customHeight="1">
      <c r="E724" s="62"/>
    </row>
    <row r="725" ht="15.75" customHeight="1">
      <c r="E725" s="62"/>
    </row>
    <row r="726" ht="15.75" customHeight="1">
      <c r="E726" s="62"/>
    </row>
    <row r="727" ht="15.75" customHeight="1">
      <c r="E727" s="62"/>
    </row>
    <row r="728" ht="15.75" customHeight="1">
      <c r="E728" s="62"/>
    </row>
    <row r="729" ht="15.75" customHeight="1">
      <c r="E729" s="62"/>
    </row>
    <row r="730" ht="15.75" customHeight="1">
      <c r="E730" s="62"/>
    </row>
    <row r="731" ht="15.75" customHeight="1">
      <c r="E731" s="62"/>
    </row>
    <row r="732" ht="15.75" customHeight="1">
      <c r="E732" s="62"/>
    </row>
    <row r="733" ht="15.75" customHeight="1">
      <c r="E733" s="62"/>
    </row>
    <row r="734" ht="15.75" customHeight="1">
      <c r="E734" s="62"/>
    </row>
    <row r="735" ht="15.75" customHeight="1">
      <c r="E735" s="62"/>
    </row>
    <row r="736" ht="15.75" customHeight="1">
      <c r="E736" s="62"/>
    </row>
    <row r="737" ht="15.75" customHeight="1">
      <c r="E737" s="62"/>
    </row>
    <row r="738" ht="15.75" customHeight="1">
      <c r="E738" s="62"/>
    </row>
    <row r="739" ht="15.75" customHeight="1">
      <c r="E739" s="62"/>
    </row>
    <row r="740" ht="15.75" customHeight="1">
      <c r="E740" s="62"/>
    </row>
    <row r="741" ht="15.75" customHeight="1">
      <c r="E741" s="62"/>
    </row>
    <row r="742" ht="15.75" customHeight="1">
      <c r="E742" s="62"/>
    </row>
    <row r="743" ht="15.75" customHeight="1">
      <c r="E743" s="62"/>
    </row>
    <row r="744" ht="15.75" customHeight="1">
      <c r="E744" s="62"/>
    </row>
    <row r="745" ht="15.75" customHeight="1">
      <c r="E745" s="62"/>
    </row>
    <row r="746" ht="15.75" customHeight="1">
      <c r="E746" s="62"/>
    </row>
    <row r="747" ht="15.75" customHeight="1">
      <c r="E747" s="62"/>
    </row>
    <row r="748" ht="15.75" customHeight="1">
      <c r="E748" s="62"/>
    </row>
    <row r="749" ht="15.75" customHeight="1">
      <c r="E749" s="62"/>
    </row>
    <row r="750" ht="15.75" customHeight="1">
      <c r="E750" s="62"/>
    </row>
    <row r="751" ht="15.75" customHeight="1">
      <c r="E751" s="62"/>
    </row>
    <row r="752" ht="15.75" customHeight="1">
      <c r="E752" s="62"/>
    </row>
    <row r="753" ht="15.75" customHeight="1">
      <c r="E753" s="62"/>
    </row>
    <row r="754" ht="15.75" customHeight="1">
      <c r="E754" s="62"/>
    </row>
    <row r="755" ht="15.75" customHeight="1">
      <c r="E755" s="62"/>
    </row>
    <row r="756" ht="15.75" customHeight="1">
      <c r="E756" s="62"/>
    </row>
    <row r="757" ht="15.75" customHeight="1">
      <c r="E757" s="62"/>
    </row>
    <row r="758" ht="15.75" customHeight="1">
      <c r="E758" s="62"/>
    </row>
    <row r="759" ht="15.75" customHeight="1">
      <c r="E759" s="62"/>
    </row>
    <row r="760" ht="15.75" customHeight="1">
      <c r="E760" s="62"/>
    </row>
    <row r="761" ht="15.75" customHeight="1">
      <c r="E761" s="62"/>
    </row>
    <row r="762" ht="15.75" customHeight="1">
      <c r="E762" s="62"/>
    </row>
    <row r="763" ht="15.75" customHeight="1">
      <c r="E763" s="62"/>
    </row>
    <row r="764" ht="15.75" customHeight="1">
      <c r="E764" s="62"/>
    </row>
    <row r="765" ht="15.75" customHeight="1">
      <c r="E765" s="62"/>
    </row>
    <row r="766" ht="15.75" customHeight="1">
      <c r="E766" s="62"/>
    </row>
    <row r="767" ht="15.75" customHeight="1">
      <c r="E767" s="62"/>
    </row>
    <row r="768" ht="15.75" customHeight="1">
      <c r="E768" s="62"/>
    </row>
    <row r="769" ht="15.75" customHeight="1">
      <c r="E769" s="62"/>
    </row>
    <row r="770" ht="15.75" customHeight="1">
      <c r="E770" s="62"/>
    </row>
    <row r="771" ht="15.75" customHeight="1">
      <c r="E771" s="62"/>
    </row>
    <row r="772" ht="15.75" customHeight="1">
      <c r="E772" s="62"/>
    </row>
    <row r="773" ht="15.75" customHeight="1">
      <c r="E773" s="62"/>
    </row>
    <row r="774" ht="15.75" customHeight="1">
      <c r="E774" s="62"/>
    </row>
    <row r="775" ht="15.75" customHeight="1">
      <c r="E775" s="62"/>
    </row>
    <row r="776" ht="15.75" customHeight="1">
      <c r="E776" s="62"/>
    </row>
    <row r="777" ht="15.75" customHeight="1">
      <c r="E777" s="62"/>
    </row>
    <row r="778" ht="15.75" customHeight="1">
      <c r="E778" s="62"/>
    </row>
    <row r="779" ht="15.75" customHeight="1">
      <c r="E779" s="62"/>
    </row>
    <row r="780" ht="15.75" customHeight="1">
      <c r="E780" s="62"/>
    </row>
    <row r="781" ht="15.75" customHeight="1">
      <c r="E781" s="62"/>
    </row>
    <row r="782" ht="15.75" customHeight="1">
      <c r="E782" s="62"/>
    </row>
    <row r="783" ht="15.75" customHeight="1">
      <c r="E783" s="62"/>
    </row>
    <row r="784" ht="15.75" customHeight="1">
      <c r="E784" s="62"/>
    </row>
    <row r="785" ht="15.75" customHeight="1">
      <c r="E785" s="62"/>
    </row>
    <row r="786" ht="15.75" customHeight="1">
      <c r="E786" s="62"/>
    </row>
    <row r="787" ht="15.75" customHeight="1">
      <c r="E787" s="62"/>
    </row>
    <row r="788" ht="15.75" customHeight="1">
      <c r="E788" s="62"/>
    </row>
    <row r="789" ht="15.75" customHeight="1">
      <c r="E789" s="62"/>
    </row>
    <row r="790" ht="15.75" customHeight="1">
      <c r="E790" s="62"/>
    </row>
    <row r="791" ht="15.75" customHeight="1">
      <c r="E791" s="62"/>
    </row>
    <row r="792" ht="15.75" customHeight="1">
      <c r="E792" s="62"/>
    </row>
    <row r="793" ht="15.75" customHeight="1">
      <c r="E793" s="62"/>
    </row>
    <row r="794" ht="15.75" customHeight="1">
      <c r="E794" s="62"/>
    </row>
    <row r="795" ht="15.75" customHeight="1">
      <c r="E795" s="62"/>
    </row>
    <row r="796" ht="15.75" customHeight="1">
      <c r="E796" s="62"/>
    </row>
    <row r="797" ht="15.75" customHeight="1">
      <c r="E797" s="62"/>
    </row>
    <row r="798" ht="15.75" customHeight="1">
      <c r="E798" s="62"/>
    </row>
    <row r="799" ht="15.75" customHeight="1">
      <c r="E799" s="62"/>
    </row>
    <row r="800" ht="15.75" customHeight="1">
      <c r="E800" s="62"/>
    </row>
    <row r="801" ht="15.75" customHeight="1">
      <c r="E801" s="62"/>
    </row>
    <row r="802" ht="15.75" customHeight="1">
      <c r="E802" s="62"/>
    </row>
    <row r="803" ht="15.75" customHeight="1">
      <c r="E803" s="62"/>
    </row>
    <row r="804" ht="15.75" customHeight="1">
      <c r="E804" s="62"/>
    </row>
    <row r="805" ht="15.75" customHeight="1">
      <c r="E805" s="62"/>
    </row>
    <row r="806" ht="15.75" customHeight="1">
      <c r="E806" s="62"/>
    </row>
    <row r="807" ht="15.75" customHeight="1">
      <c r="E807" s="62"/>
    </row>
    <row r="808" ht="15.75" customHeight="1">
      <c r="E808" s="62"/>
    </row>
    <row r="809" ht="15.75" customHeight="1">
      <c r="E809" s="62"/>
    </row>
    <row r="810" ht="15.75" customHeight="1">
      <c r="E810" s="62"/>
    </row>
    <row r="811" ht="15.75" customHeight="1">
      <c r="E811" s="62"/>
    </row>
    <row r="812" ht="15.75" customHeight="1">
      <c r="E812" s="62"/>
    </row>
    <row r="813" ht="15.75" customHeight="1">
      <c r="E813" s="62"/>
    </row>
    <row r="814" ht="15.75" customHeight="1">
      <c r="E814" s="62"/>
    </row>
    <row r="815" ht="15.75" customHeight="1">
      <c r="E815" s="62"/>
    </row>
    <row r="816" ht="15.75" customHeight="1">
      <c r="E816" s="62"/>
    </row>
    <row r="817" ht="15.75" customHeight="1">
      <c r="E817" s="62"/>
    </row>
    <row r="818" ht="15.75" customHeight="1">
      <c r="E818" s="62"/>
    </row>
    <row r="819" ht="15.75" customHeight="1">
      <c r="E819" s="62"/>
    </row>
    <row r="820" ht="15.75" customHeight="1">
      <c r="E820" s="62"/>
    </row>
    <row r="821" ht="15.75" customHeight="1">
      <c r="E821" s="62"/>
    </row>
    <row r="822" ht="15.75" customHeight="1">
      <c r="E822" s="62"/>
    </row>
    <row r="823" ht="15.75" customHeight="1">
      <c r="E823" s="62"/>
    </row>
    <row r="824" ht="15.75" customHeight="1">
      <c r="E824" s="62"/>
    </row>
    <row r="825" ht="15.75" customHeight="1">
      <c r="E825" s="62"/>
    </row>
    <row r="826" ht="15.75" customHeight="1">
      <c r="E826" s="62"/>
    </row>
    <row r="827" ht="15.75" customHeight="1">
      <c r="E827" s="62"/>
    </row>
    <row r="828" ht="15.75" customHeight="1">
      <c r="E828" s="62"/>
    </row>
    <row r="829" ht="15.75" customHeight="1">
      <c r="E829" s="62"/>
    </row>
    <row r="830" ht="15.75" customHeight="1">
      <c r="E830" s="62"/>
    </row>
    <row r="831" ht="15.75" customHeight="1">
      <c r="E831" s="62"/>
    </row>
    <row r="832" ht="15.75" customHeight="1">
      <c r="E832" s="62"/>
    </row>
    <row r="833" ht="15.75" customHeight="1">
      <c r="E833" s="62"/>
    </row>
    <row r="834" ht="15.75" customHeight="1">
      <c r="E834" s="62"/>
    </row>
    <row r="835" ht="15.75" customHeight="1">
      <c r="E835" s="62"/>
    </row>
    <row r="836" ht="15.75" customHeight="1">
      <c r="E836" s="62"/>
    </row>
    <row r="837" ht="15.75" customHeight="1">
      <c r="E837" s="62"/>
    </row>
    <row r="838" ht="15.75" customHeight="1">
      <c r="E838" s="62"/>
    </row>
    <row r="839" ht="15.75" customHeight="1">
      <c r="E839" s="62"/>
    </row>
    <row r="840" ht="15.75" customHeight="1">
      <c r="E840" s="62"/>
    </row>
    <row r="841" ht="15.75" customHeight="1">
      <c r="E841" s="62"/>
    </row>
    <row r="842" ht="15.75" customHeight="1">
      <c r="E842" s="62"/>
    </row>
    <row r="843" ht="15.75" customHeight="1">
      <c r="E843" s="62"/>
    </row>
    <row r="844" ht="15.75" customHeight="1">
      <c r="E844" s="62"/>
    </row>
    <row r="845" ht="15.75" customHeight="1">
      <c r="E845" s="62"/>
    </row>
    <row r="846" ht="15.75" customHeight="1">
      <c r="E846" s="62"/>
    </row>
    <row r="847" ht="15.75" customHeight="1">
      <c r="E847" s="62"/>
    </row>
    <row r="848" ht="15.75" customHeight="1">
      <c r="E848" s="62"/>
    </row>
    <row r="849" ht="15.75" customHeight="1">
      <c r="E849" s="62"/>
    </row>
    <row r="850" ht="15.75" customHeight="1">
      <c r="E850" s="62"/>
    </row>
    <row r="851" ht="15.75" customHeight="1">
      <c r="E851" s="62"/>
    </row>
    <row r="852" ht="15.75" customHeight="1">
      <c r="E852" s="62"/>
    </row>
    <row r="853" ht="15.75" customHeight="1">
      <c r="E853" s="62"/>
    </row>
    <row r="854" ht="15.75" customHeight="1">
      <c r="E854" s="62"/>
    </row>
    <row r="855" ht="15.75" customHeight="1">
      <c r="E855" s="62"/>
    </row>
    <row r="856" ht="15.75" customHeight="1">
      <c r="E856" s="62"/>
    </row>
    <row r="857" ht="15.75" customHeight="1">
      <c r="E857" s="62"/>
    </row>
    <row r="858" ht="15.75" customHeight="1">
      <c r="E858" s="62"/>
    </row>
    <row r="859" ht="15.75" customHeight="1">
      <c r="E859" s="62"/>
    </row>
    <row r="860" ht="15.75" customHeight="1">
      <c r="E860" s="62"/>
    </row>
    <row r="861" ht="15.75" customHeight="1">
      <c r="E861" s="62"/>
    </row>
    <row r="862" ht="15.75" customHeight="1">
      <c r="E862" s="62"/>
    </row>
    <row r="863" ht="15.75" customHeight="1">
      <c r="E863" s="62"/>
    </row>
    <row r="864" ht="15.75" customHeight="1">
      <c r="E864" s="62"/>
    </row>
    <row r="865" ht="15.75" customHeight="1">
      <c r="E865" s="62"/>
    </row>
    <row r="866" ht="15.75" customHeight="1">
      <c r="E866" s="62"/>
    </row>
    <row r="867" ht="15.75" customHeight="1">
      <c r="E867" s="62"/>
    </row>
    <row r="868" ht="15.75" customHeight="1">
      <c r="E868" s="62"/>
    </row>
    <row r="869" ht="15.75" customHeight="1">
      <c r="E869" s="62"/>
    </row>
    <row r="870" ht="15.75" customHeight="1">
      <c r="E870" s="62"/>
    </row>
    <row r="871" ht="15.75" customHeight="1">
      <c r="E871" s="62"/>
    </row>
    <row r="872" ht="15.75" customHeight="1">
      <c r="E872" s="62"/>
    </row>
    <row r="873" ht="15.75" customHeight="1">
      <c r="E873" s="62"/>
    </row>
    <row r="874" ht="15.75" customHeight="1">
      <c r="E874" s="62"/>
    </row>
    <row r="875" ht="15.75" customHeight="1">
      <c r="E875" s="62"/>
    </row>
    <row r="876" ht="15.75" customHeight="1">
      <c r="E876" s="62"/>
    </row>
    <row r="877" ht="15.75" customHeight="1">
      <c r="E877" s="62"/>
    </row>
    <row r="878" ht="15.75" customHeight="1">
      <c r="E878" s="62"/>
    </row>
    <row r="879" ht="15.75" customHeight="1">
      <c r="E879" s="62"/>
    </row>
    <row r="880" ht="15.75" customHeight="1">
      <c r="E880" s="62"/>
    </row>
    <row r="881" ht="15.75" customHeight="1">
      <c r="E881" s="62"/>
    </row>
    <row r="882" ht="15.75" customHeight="1">
      <c r="E882" s="62"/>
    </row>
    <row r="883" ht="15.75" customHeight="1">
      <c r="E883" s="62"/>
    </row>
    <row r="884" ht="15.75" customHeight="1">
      <c r="E884" s="62"/>
    </row>
    <row r="885" ht="15.75" customHeight="1">
      <c r="E885" s="62"/>
    </row>
    <row r="886" ht="15.75" customHeight="1">
      <c r="E886" s="62"/>
    </row>
    <row r="887" ht="15.75" customHeight="1">
      <c r="E887" s="62"/>
    </row>
    <row r="888" ht="15.75" customHeight="1">
      <c r="E888" s="62"/>
    </row>
    <row r="889" ht="15.75" customHeight="1">
      <c r="E889" s="62"/>
    </row>
    <row r="890" ht="15.75" customHeight="1">
      <c r="E890" s="62"/>
    </row>
    <row r="891" ht="15.75" customHeight="1">
      <c r="E891" s="62"/>
    </row>
    <row r="892" ht="15.75" customHeight="1">
      <c r="E892" s="62"/>
    </row>
    <row r="893" ht="15.75" customHeight="1">
      <c r="E893" s="62"/>
    </row>
    <row r="894" ht="15.75" customHeight="1">
      <c r="E894" s="62"/>
    </row>
    <row r="895" ht="15.75" customHeight="1">
      <c r="E895" s="62"/>
    </row>
    <row r="896" ht="15.75" customHeight="1">
      <c r="E896" s="62"/>
    </row>
    <row r="897" ht="15.75" customHeight="1">
      <c r="E897" s="62"/>
    </row>
    <row r="898" ht="15.75" customHeight="1">
      <c r="E898" s="62"/>
    </row>
    <row r="899" ht="15.75" customHeight="1">
      <c r="E899" s="62"/>
    </row>
    <row r="900" ht="15.75" customHeight="1">
      <c r="E900" s="62"/>
    </row>
    <row r="901" ht="15.75" customHeight="1">
      <c r="E901" s="62"/>
    </row>
    <row r="902" ht="15.75" customHeight="1">
      <c r="E902" s="62"/>
    </row>
    <row r="903" ht="15.75" customHeight="1">
      <c r="E903" s="62"/>
    </row>
    <row r="904" ht="15.75" customHeight="1">
      <c r="E904" s="62"/>
    </row>
    <row r="905" ht="15.75" customHeight="1">
      <c r="E905" s="62"/>
    </row>
    <row r="906" ht="15.75" customHeight="1">
      <c r="E906" s="62"/>
    </row>
    <row r="907" ht="15.75" customHeight="1">
      <c r="E907" s="62"/>
    </row>
    <row r="908" ht="15.75" customHeight="1">
      <c r="E908" s="62"/>
    </row>
    <row r="909" ht="15.75" customHeight="1">
      <c r="E909" s="62"/>
    </row>
    <row r="910" ht="15.75" customHeight="1">
      <c r="E910" s="62"/>
    </row>
    <row r="911" ht="15.75" customHeight="1">
      <c r="E911" s="62"/>
    </row>
    <row r="912" ht="15.75" customHeight="1">
      <c r="E912" s="62"/>
    </row>
    <row r="913" ht="15.75" customHeight="1">
      <c r="E913" s="62"/>
    </row>
    <row r="914" ht="15.75" customHeight="1">
      <c r="E914" s="62"/>
    </row>
    <row r="915" ht="15.75" customHeight="1">
      <c r="E915" s="62"/>
    </row>
    <row r="916" ht="15.75" customHeight="1">
      <c r="E916" s="62"/>
    </row>
    <row r="917" ht="15.75" customHeight="1">
      <c r="E917" s="62"/>
    </row>
    <row r="918" ht="15.75" customHeight="1">
      <c r="E918" s="62"/>
    </row>
    <row r="919" ht="15.75" customHeight="1">
      <c r="E919" s="62"/>
    </row>
    <row r="920" ht="15.75" customHeight="1">
      <c r="E920" s="62"/>
    </row>
    <row r="921" ht="15.75" customHeight="1">
      <c r="E921" s="62"/>
    </row>
    <row r="922" ht="15.75" customHeight="1">
      <c r="E922" s="62"/>
    </row>
    <row r="923" ht="15.75" customHeight="1">
      <c r="E923" s="62"/>
    </row>
    <row r="924" ht="15.75" customHeight="1">
      <c r="E924" s="62"/>
    </row>
    <row r="925" ht="15.75" customHeight="1">
      <c r="E925" s="62"/>
    </row>
    <row r="926" ht="15.75" customHeight="1">
      <c r="E926" s="62"/>
    </row>
    <row r="927" ht="15.75" customHeight="1">
      <c r="E927" s="62"/>
    </row>
    <row r="928" ht="15.75" customHeight="1">
      <c r="E928" s="62"/>
    </row>
    <row r="929" ht="15.75" customHeight="1">
      <c r="E929" s="62"/>
    </row>
    <row r="930" ht="15.75" customHeight="1">
      <c r="E930" s="62"/>
    </row>
    <row r="931" ht="15.75" customHeight="1">
      <c r="E931" s="62"/>
    </row>
    <row r="932" ht="15.75" customHeight="1">
      <c r="E932" s="62"/>
    </row>
    <row r="933" ht="15.75" customHeight="1">
      <c r="E933" s="62"/>
    </row>
    <row r="934" ht="15.75" customHeight="1">
      <c r="E934" s="62"/>
    </row>
    <row r="935" ht="15.75" customHeight="1">
      <c r="E935" s="62"/>
    </row>
    <row r="936" ht="15.75" customHeight="1">
      <c r="E936" s="62"/>
    </row>
    <row r="937" ht="15.75" customHeight="1">
      <c r="E937" s="62"/>
    </row>
    <row r="938" ht="15.75" customHeight="1">
      <c r="E938" s="62"/>
    </row>
    <row r="939" ht="15.75" customHeight="1">
      <c r="E939" s="62"/>
    </row>
    <row r="940" ht="15.75" customHeight="1">
      <c r="E940" s="62"/>
    </row>
    <row r="941" ht="15.75" customHeight="1">
      <c r="E941" s="62"/>
    </row>
    <row r="942" ht="15.75" customHeight="1">
      <c r="E942" s="62"/>
    </row>
    <row r="943" ht="15.75" customHeight="1">
      <c r="E943" s="62"/>
    </row>
    <row r="944" ht="15.75" customHeight="1">
      <c r="E944" s="62"/>
    </row>
    <row r="945" ht="15.75" customHeight="1">
      <c r="E945" s="62"/>
    </row>
    <row r="946" ht="15.75" customHeight="1">
      <c r="E946" s="62"/>
    </row>
    <row r="947" ht="15.75" customHeight="1">
      <c r="E947" s="62"/>
    </row>
    <row r="948" ht="15.75" customHeight="1">
      <c r="E948" s="62"/>
    </row>
    <row r="949" ht="15.75" customHeight="1">
      <c r="E949" s="62"/>
    </row>
    <row r="950" ht="15.75" customHeight="1">
      <c r="E950" s="62"/>
    </row>
    <row r="951" ht="15.75" customHeight="1">
      <c r="E951" s="62"/>
    </row>
    <row r="952" ht="15.75" customHeight="1">
      <c r="E952" s="62"/>
    </row>
    <row r="953" ht="15.75" customHeight="1">
      <c r="E953" s="62"/>
    </row>
    <row r="954" ht="15.75" customHeight="1">
      <c r="E954" s="62"/>
    </row>
    <row r="955" ht="15.75" customHeight="1">
      <c r="E955" s="62"/>
    </row>
    <row r="956" ht="15.75" customHeight="1">
      <c r="E956" s="62"/>
    </row>
    <row r="957" ht="15.75" customHeight="1">
      <c r="E957" s="62"/>
    </row>
    <row r="958" ht="15.75" customHeight="1">
      <c r="E958" s="62"/>
    </row>
    <row r="959" ht="15.75" customHeight="1">
      <c r="E959" s="62"/>
    </row>
    <row r="960" ht="15.75" customHeight="1">
      <c r="E960" s="62"/>
    </row>
    <row r="961" ht="15.75" customHeight="1">
      <c r="E961" s="62"/>
    </row>
    <row r="962" ht="15.75" customHeight="1">
      <c r="E962" s="62"/>
    </row>
    <row r="963" ht="15.75" customHeight="1">
      <c r="E963" s="62"/>
    </row>
    <row r="964" ht="15.75" customHeight="1">
      <c r="E964" s="62"/>
    </row>
    <row r="965" ht="15.75" customHeight="1">
      <c r="E965" s="62"/>
    </row>
    <row r="966" ht="15.75" customHeight="1">
      <c r="E966" s="62"/>
    </row>
    <row r="967" ht="15.75" customHeight="1">
      <c r="E967" s="62"/>
    </row>
    <row r="968" ht="15.75" customHeight="1">
      <c r="E968" s="62"/>
    </row>
    <row r="969" ht="15.75" customHeight="1">
      <c r="E969" s="62"/>
    </row>
    <row r="970" ht="15.75" customHeight="1">
      <c r="E970" s="62"/>
    </row>
    <row r="971" ht="15.75" customHeight="1">
      <c r="E971" s="62"/>
    </row>
    <row r="972" ht="15.75" customHeight="1">
      <c r="E972" s="62"/>
    </row>
    <row r="973" ht="15.75" customHeight="1">
      <c r="E973" s="62"/>
    </row>
    <row r="974" ht="15.75" customHeight="1">
      <c r="E974" s="62"/>
    </row>
    <row r="975" ht="15.75" customHeight="1">
      <c r="E975" s="62"/>
    </row>
    <row r="976" ht="15.75" customHeight="1">
      <c r="E976" s="62"/>
    </row>
    <row r="977" ht="15.75" customHeight="1">
      <c r="E977" s="62"/>
    </row>
    <row r="978" ht="15.75" customHeight="1">
      <c r="E978" s="62"/>
    </row>
    <row r="979" ht="15.75" customHeight="1">
      <c r="E979" s="62"/>
    </row>
    <row r="980" ht="15.75" customHeight="1">
      <c r="E980" s="62"/>
    </row>
    <row r="981" ht="15.75" customHeight="1">
      <c r="E981" s="62"/>
    </row>
    <row r="982" ht="15.75" customHeight="1">
      <c r="E982" s="62"/>
    </row>
    <row r="983" ht="15.75" customHeight="1">
      <c r="E983" s="62"/>
    </row>
    <row r="984" ht="15.75" customHeight="1">
      <c r="E984" s="62"/>
    </row>
    <row r="985" ht="15.75" customHeight="1">
      <c r="E985" s="62"/>
    </row>
    <row r="986" ht="15.75" customHeight="1">
      <c r="E986" s="62"/>
    </row>
    <row r="987" ht="15.75" customHeight="1">
      <c r="E987" s="62"/>
    </row>
    <row r="988" ht="15.75" customHeight="1">
      <c r="E988" s="62"/>
    </row>
    <row r="989" ht="15.75" customHeight="1">
      <c r="E989" s="62"/>
    </row>
    <row r="990" ht="15.75" customHeight="1">
      <c r="E990" s="62"/>
    </row>
    <row r="991" ht="15.75" customHeight="1">
      <c r="E991" s="62"/>
    </row>
    <row r="992" ht="15.75" customHeight="1">
      <c r="E992" s="62"/>
    </row>
    <row r="993" ht="15.75" customHeight="1">
      <c r="E993" s="62"/>
    </row>
    <row r="994" ht="15.75" customHeight="1">
      <c r="E994" s="62"/>
    </row>
    <row r="995" ht="15.75" customHeight="1">
      <c r="E995" s="62"/>
    </row>
    <row r="996" ht="15.75" customHeight="1">
      <c r="E996" s="62"/>
    </row>
    <row r="997" ht="15.75" customHeight="1">
      <c r="E997" s="62"/>
    </row>
    <row r="998" ht="15.75" customHeight="1">
      <c r="E998" s="62"/>
    </row>
    <row r="999" ht="15.75" customHeight="1">
      <c r="E999" s="62"/>
    </row>
    <row r="1000" ht="15.75" customHeight="1">
      <c r="E1000" s="62"/>
    </row>
  </sheetData>
  <mergeCells count="3">
    <mergeCell ref="A1:I1"/>
    <mergeCell ref="A2:I2"/>
    <mergeCell ref="A21:I21"/>
  </mergeCells>
  <conditionalFormatting sqref="F5:F1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6" width="14.0"/>
  </cols>
  <sheetData>
    <row r="1" ht="45.0" customHeight="1">
      <c r="A1" s="70" t="s">
        <v>80</v>
      </c>
      <c r="B1" s="70" t="s">
        <v>263</v>
      </c>
      <c r="C1" s="70" t="s">
        <v>264</v>
      </c>
      <c r="D1" s="70" t="s">
        <v>265</v>
      </c>
      <c r="E1" s="70" t="s">
        <v>266</v>
      </c>
      <c r="F1" s="70" t="s">
        <v>267</v>
      </c>
      <c r="G1" s="70" t="s">
        <v>268</v>
      </c>
      <c r="H1" s="70" t="s">
        <v>269</v>
      </c>
      <c r="I1" s="70" t="s">
        <v>270</v>
      </c>
      <c r="J1" s="70" t="s">
        <v>271</v>
      </c>
      <c r="K1" s="70" t="s">
        <v>272</v>
      </c>
      <c r="L1" s="70" t="s">
        <v>273</v>
      </c>
      <c r="M1" s="70" t="s">
        <v>274</v>
      </c>
      <c r="N1" s="70" t="s">
        <v>275</v>
      </c>
      <c r="O1" s="70" t="s">
        <v>276</v>
      </c>
      <c r="P1" s="70" t="s">
        <v>277</v>
      </c>
      <c r="Q1" s="70" t="s">
        <v>278</v>
      </c>
      <c r="R1" s="70" t="s">
        <v>279</v>
      </c>
      <c r="S1" s="70" t="s">
        <v>47</v>
      </c>
      <c r="T1" s="70" t="s">
        <v>280</v>
      </c>
      <c r="U1" s="70" t="s">
        <v>49</v>
      </c>
      <c r="V1" s="70" t="s">
        <v>281</v>
      </c>
      <c r="W1" s="70" t="s">
        <v>282</v>
      </c>
      <c r="X1" s="70" t="s">
        <v>283</v>
      </c>
      <c r="Y1" s="70" t="s">
        <v>126</v>
      </c>
      <c r="Z1" s="70" t="s">
        <v>261</v>
      </c>
    </row>
    <row r="2">
      <c r="A2" s="59" t="str">
        <f>LS_Main_Dataset!A2</f>
        <v>Shahi Exports</v>
      </c>
      <c r="B2" s="71">
        <f>IF(ISNUMBER(LS_Main_Dataset!AN2),LS_Main_Dataset!AN2,"")</f>
        <v>4.21</v>
      </c>
      <c r="C2" s="71">
        <f>IFERROR(IF(ISNUMBER(LS_Main_Dataset!V2),LS_Main_Dataset!V2/LS_Main_Dataset!H2,""),"")</f>
        <v>46.27709412</v>
      </c>
      <c r="D2" s="71">
        <f>IFERROR(IF(ISNUMBER(LS_Main_Dataset!AF2),LS_Main_Dataset!AF2/LS_Main_Dataset!H2,""),"")</f>
        <v>0.5042553191</v>
      </c>
      <c r="E2" s="71">
        <f>IF(ISNUMBER(LS_Main_Dataset!S2),LS_Main_Dataset!S2,"")</f>
        <v>65</v>
      </c>
      <c r="F2" s="71">
        <f>IF(ISNUMBER(LS_Main_Dataset!AD2),LS_Main_Dataset!AD2,"")</f>
        <v>50</v>
      </c>
      <c r="G2" s="72">
        <f t="shared" ref="G2:G16" si="1">IF(B2="","",(MAX($B$2:$B$16)-B2)/(MAX($B$2:$B$16)-MIN($B$2:$B$16))*100)</f>
        <v>99.77719463</v>
      </c>
      <c r="H2" s="72">
        <f t="shared" ref="H2:H16" si="2">IF(E2="","",E2)</f>
        <v>65</v>
      </c>
      <c r="I2" s="72">
        <f t="shared" ref="I2:I16" si="3">IF(C2="","",(MAX($C$2:$C$16)-C2)/(MAX($C$2:$C$16)-MIN($C$2:$C$16))*100)</f>
        <v>96.57820164</v>
      </c>
      <c r="J2" s="72">
        <f t="shared" ref="J2:J16" si="4">IF(D2="","",(MAX($D$2:$D$16)-D2)/(MAX($D$2:$D$16)-MIN($D$2:$D$16))*100)</f>
        <v>99.35780773</v>
      </c>
      <c r="K2" s="72">
        <f t="shared" ref="K2:K16" si="5">IF(F2="","",F2)</f>
        <v>50</v>
      </c>
      <c r="L2" s="72">
        <f>IF(LS_Main_Dataset!X2="Committed",100,IF(LS_Main_Dataset!X2="Not Committed",40,IF(LS_Main_Dataset!X2="Not a member",15,IF(LS_Main_Dataset!X2="Not found",10,IF(LS_Main_Dataset!X2="Not Disclosed",0,"")))))</f>
        <v>15</v>
      </c>
      <c r="M2" s="72">
        <f>IF(LS_Main_Dataset!AC2="Yes",100,IF(LS_Main_Dataset!AC2="No",0,""))</f>
        <v>0</v>
      </c>
      <c r="N2" s="72">
        <f t="shared" ref="N2:N16" si="6">AVERAGE(G2:M2)</f>
        <v>60.816172</v>
      </c>
      <c r="O2" s="73">
        <f>LS_Main_Dataset!L2</f>
        <v>71.64</v>
      </c>
      <c r="P2" s="73" t="str">
        <f>IF(ISNUMBER(LS_Main_Dataset!AE2),100,IF(LS_Main_Dataset!AE2="Not Disclosed",0,""))</f>
        <v/>
      </c>
      <c r="Q2" s="73">
        <f t="shared" ref="Q2:Q16" si="7">AVERAGE(O2:P2)</f>
        <v>71.64</v>
      </c>
      <c r="R2" s="74">
        <f>IF(LS_Main_Dataset!G2="Public Listed",100,IF(LS_Main_Dataset!G2="Private",55,""))</f>
        <v>55</v>
      </c>
      <c r="S2" s="75">
        <f t="array" ref="S2">SUMPRODUCT(--ISNUMBER(SEARCH({"GRI","SASB","TCFD","BRSR","UNGC","Integrated Annual Report","Sustainability Report"},LS_Main_Dataset!N2)))</f>
        <v>1</v>
      </c>
      <c r="T2" s="75">
        <f t="shared" ref="T2:T16" si="8">IF(S2=0,0,IF(S2=1,30,IF(S2=2,50,IF(S2=3,65,IF(S2=4,80,IF(S2=5,92,100))))))</f>
        <v>30</v>
      </c>
      <c r="U2" s="75">
        <f>IF(LS_Main_Dataset!Z2="A",100,IF(LS_Main_Dataset!Z2="A-",90,IF(LS_Main_Dataset!Z2="B",75,IF(LS_Main_Dataset!Z2="B-",65,IF(LS_Main_Dataset!Z2="C",50,IF(LS_Main_Dataset!Z2="D",25,IF(LS_Main_Dataset!Z2="Not Disclosed",0,"")))))))</f>
        <v>75</v>
      </c>
      <c r="V2" s="75">
        <f t="shared" ref="V2:V16" si="9">AVERAGE(T2:U2)</f>
        <v>52.5</v>
      </c>
      <c r="W2" s="71">
        <f t="shared" ref="W2:W16" si="10">N2*0.4+Q2*0.25+R2*0.2+V2*0.15</f>
        <v>61.1114688</v>
      </c>
      <c r="X2" s="71" t="str">
        <f t="shared" ref="X2:X16" si="11">IF(W2&gt;=90,"AAA",IF(W2&gt;=80,"AA",IF(W2&gt;=70,"A",IF(W2&gt;=60,"BBB",IF(W2&gt;=50,"BB",IF(W2&gt;=40,"B","CCC"))))))</f>
        <v>BBB</v>
      </c>
      <c r="Y2" s="71">
        <f t="shared" ref="Y2:Y16" si="12">COUNT(G2:M2,O2:P2,R2,T2:U2)/12*100</f>
        <v>91.66666667</v>
      </c>
      <c r="Z2" s="71" t="str">
        <f t="shared" ref="Z2:Z16" si="13">IF(Y2&gt;=80,"High",IF(Y2&gt;=60,"Medium","Low"))</f>
        <v>High</v>
      </c>
    </row>
    <row r="3">
      <c r="A3" s="59" t="str">
        <f>LS_Main_Dataset!A3</f>
        <v>Vardhman Textiles</v>
      </c>
      <c r="B3" s="71">
        <f>IF(ISNUMBER(LS_Main_Dataset!AN3),LS_Main_Dataset!AN3,"")</f>
        <v>40.79</v>
      </c>
      <c r="C3" s="71">
        <f>IFERROR(IF(ISNUMBER(LS_Main_Dataset!V3),LS_Main_Dataset!V3/LS_Main_Dataset!H3,""),"")</f>
        <v>203.7292531</v>
      </c>
      <c r="D3" s="71">
        <f>IFERROR(IF(ISNUMBER(LS_Main_Dataset!AF3),LS_Main_Dataset!AF3/LS_Main_Dataset!H3,""),"")</f>
        <v>0.7663424667</v>
      </c>
      <c r="E3" s="71">
        <f>IF(ISNUMBER(LS_Main_Dataset!S3),LS_Main_Dataset!S3,"")</f>
        <v>14.46</v>
      </c>
      <c r="F3" s="71">
        <f>IF(ISNUMBER(LS_Main_Dataset!AD3),LS_Main_Dataset!AD3,"")</f>
        <v>28</v>
      </c>
      <c r="G3" s="72">
        <f t="shared" si="1"/>
        <v>97.51324454</v>
      </c>
      <c r="H3" s="72">
        <f t="shared" si="2"/>
        <v>14.46</v>
      </c>
      <c r="I3" s="72">
        <f t="shared" si="3"/>
        <v>82.80630969</v>
      </c>
      <c r="J3" s="72">
        <f t="shared" si="4"/>
        <v>98.99357906</v>
      </c>
      <c r="K3" s="72">
        <f t="shared" si="5"/>
        <v>28</v>
      </c>
      <c r="L3" s="72">
        <f>IF(LS_Main_Dataset!X3="Committed",100,IF(LS_Main_Dataset!X3="Not Committed",40,IF(LS_Main_Dataset!X3="Not a member",15,IF(LS_Main_Dataset!X3="Not found",10,IF(LS_Main_Dataset!X3="Not Disclosed",0,"")))))</f>
        <v>10</v>
      </c>
      <c r="M3" s="72">
        <f>IF(LS_Main_Dataset!AC3="Yes",100,IF(LS_Main_Dataset!AC3="No",0,""))</f>
        <v>0</v>
      </c>
      <c r="N3" s="72">
        <f t="shared" si="6"/>
        <v>47.3961619</v>
      </c>
      <c r="O3" s="73">
        <f>LS_Main_Dataset!L3</f>
        <v>34.38</v>
      </c>
      <c r="P3" s="73" t="str">
        <f>IF(ISNUMBER(LS_Main_Dataset!AE3),100,IF(LS_Main_Dataset!AE3="Not Disclosed",0,""))</f>
        <v/>
      </c>
      <c r="Q3" s="73">
        <f t="shared" si="7"/>
        <v>34.38</v>
      </c>
      <c r="R3" s="74">
        <f>IF(LS_Main_Dataset!G3="Public Listed",100,IF(LS_Main_Dataset!G3="Private",55,""))</f>
        <v>100</v>
      </c>
      <c r="S3" s="75">
        <f t="array" ref="S3">SUMPRODUCT(--ISNUMBER(SEARCH({"GRI","SASB","TCFD","BRSR","UNGC","Integrated Annual Report","Sustainability Report"},LS_Main_Dataset!N3)))</f>
        <v>1</v>
      </c>
      <c r="T3" s="75">
        <f t="shared" si="8"/>
        <v>30</v>
      </c>
      <c r="U3" s="75" t="str">
        <f>IF(LS_Main_Dataset!Z3="A",100,IF(LS_Main_Dataset!Z3="A-",90,IF(LS_Main_Dataset!Z3="B",75,IF(LS_Main_Dataset!Z3="B-",65,IF(LS_Main_Dataset!Z3="C",50,IF(LS_Main_Dataset!Z3="D",25,IF(LS_Main_Dataset!Z3="Not Disclosed",0,"")))))))</f>
        <v/>
      </c>
      <c r="V3" s="75">
        <f t="shared" si="9"/>
        <v>30</v>
      </c>
      <c r="W3" s="71">
        <f t="shared" si="10"/>
        <v>52.05346476</v>
      </c>
      <c r="X3" s="71" t="str">
        <f t="shared" si="11"/>
        <v>BB</v>
      </c>
      <c r="Y3" s="71">
        <f t="shared" si="12"/>
        <v>83.33333333</v>
      </c>
      <c r="Z3" s="71" t="str">
        <f t="shared" si="13"/>
        <v>High</v>
      </c>
    </row>
    <row r="4">
      <c r="A4" s="59" t="str">
        <f>LS_Main_Dataset!A4</f>
        <v>Arvind Limited</v>
      </c>
      <c r="B4" s="71">
        <f>IF(ISNUMBER(LS_Main_Dataset!AN4),LS_Main_Dataset!AN4,"")</f>
        <v>13.33</v>
      </c>
      <c r="C4" s="71">
        <f>IFERROR(IF(ISNUMBER(LS_Main_Dataset!V4),LS_Main_Dataset!V4/LS_Main_Dataset!H4,""),"")</f>
        <v>79.43304014</v>
      </c>
      <c r="D4" s="71">
        <f>IFERROR(IF(ISNUMBER(LS_Main_Dataset!AF4),LS_Main_Dataset!AF4/LS_Main_Dataset!H4,""),"")</f>
        <v>1.035483774</v>
      </c>
      <c r="E4" s="71">
        <f>IF(ISNUMBER(LS_Main_Dataset!S4),LS_Main_Dataset!S4,"")</f>
        <v>37</v>
      </c>
      <c r="F4" s="71">
        <f>IF(ISNUMBER(LS_Main_Dataset!AD4),LS_Main_Dataset!AD4,"")</f>
        <v>37</v>
      </c>
      <c r="G4" s="72">
        <f t="shared" si="1"/>
        <v>99.21275437</v>
      </c>
      <c r="H4" s="72">
        <f t="shared" si="2"/>
        <v>37</v>
      </c>
      <c r="I4" s="72">
        <f t="shared" si="3"/>
        <v>93.67814546</v>
      </c>
      <c r="J4" s="72">
        <f t="shared" si="4"/>
        <v>98.61954706</v>
      </c>
      <c r="K4" s="72">
        <f t="shared" si="5"/>
        <v>37</v>
      </c>
      <c r="L4" s="72">
        <f>IF(LS_Main_Dataset!X4="Committed",100,IF(LS_Main_Dataset!X4="Not Committed",40,IF(LS_Main_Dataset!X4="Not a member",15,IF(LS_Main_Dataset!X4="Not found",10,IF(LS_Main_Dataset!X4="Not Disclosed",0,"")))))</f>
        <v>100</v>
      </c>
      <c r="M4" s="72">
        <f>IF(LS_Main_Dataset!AC4="Yes",100,IF(LS_Main_Dataset!AC4="No",0,""))</f>
        <v>0</v>
      </c>
      <c r="N4" s="72">
        <f t="shared" si="6"/>
        <v>66.50149241</v>
      </c>
      <c r="O4" s="73">
        <f>LS_Main_Dataset!L4</f>
        <v>30.11</v>
      </c>
      <c r="P4" s="73">
        <f>IF(ISNUMBER(LS_Main_Dataset!AE4),100,IF(LS_Main_Dataset!AE4="Not Disclosed",0,""))</f>
        <v>100</v>
      </c>
      <c r="Q4" s="73">
        <f t="shared" si="7"/>
        <v>65.055</v>
      </c>
      <c r="R4" s="74">
        <f>IF(LS_Main_Dataset!G4="Public Listed",100,IF(LS_Main_Dataset!G4="Private",55,""))</f>
        <v>100</v>
      </c>
      <c r="S4" s="75">
        <f t="array" ref="S4">SUMPRODUCT(--ISNUMBER(SEARCH({"GRI","SASB","TCFD","BRSR","UNGC","Integrated Annual Report","Sustainability Report"},LS_Main_Dataset!N4)))</f>
        <v>2</v>
      </c>
      <c r="T4" s="75">
        <f t="shared" si="8"/>
        <v>50</v>
      </c>
      <c r="U4" s="75" t="str">
        <f>IF(LS_Main_Dataset!Z4="A",100,IF(LS_Main_Dataset!Z4="A-",90,IF(LS_Main_Dataset!Z4="B",75,IF(LS_Main_Dataset!Z4="B-",65,IF(LS_Main_Dataset!Z4="C",50,IF(LS_Main_Dataset!Z4="D",25,IF(LS_Main_Dataset!Z4="Not Disclosed",0,"")))))))</f>
        <v/>
      </c>
      <c r="V4" s="75">
        <f t="shared" si="9"/>
        <v>50</v>
      </c>
      <c r="W4" s="71">
        <f t="shared" si="10"/>
        <v>70.36434697</v>
      </c>
      <c r="X4" s="71" t="str">
        <f t="shared" si="11"/>
        <v>A</v>
      </c>
      <c r="Y4" s="71">
        <f t="shared" si="12"/>
        <v>91.66666667</v>
      </c>
      <c r="Z4" s="71" t="str">
        <f t="shared" si="13"/>
        <v>High</v>
      </c>
    </row>
    <row r="5">
      <c r="A5" s="59" t="str">
        <f>LS_Main_Dataset!A5</f>
        <v>Trident Limited</v>
      </c>
      <c r="B5" s="71">
        <f>IF(ISNUMBER(LS_Main_Dataset!AN5),LS_Main_Dataset!AN5,"")</f>
        <v>65.15</v>
      </c>
      <c r="C5" s="71">
        <f>IFERROR(IF(ISNUMBER(LS_Main_Dataset!V5),LS_Main_Dataset!V5/LS_Main_Dataset!H5,""),"")</f>
        <v>877.1348501</v>
      </c>
      <c r="D5" s="71">
        <f>IFERROR(IF(ISNUMBER(LS_Main_Dataset!AF5),LS_Main_Dataset!AF5/LS_Main_Dataset!H5,""),"")</f>
        <v>16.08059053</v>
      </c>
      <c r="E5" s="71">
        <f>IF(ISNUMBER(LS_Main_Dataset!S5),LS_Main_Dataset!S5,"")</f>
        <v>34.9</v>
      </c>
      <c r="F5" s="71">
        <f>IF(ISNUMBER(LS_Main_Dataset!AD5),LS_Main_Dataset!AD5,"")</f>
        <v>38.5</v>
      </c>
      <c r="G5" s="72">
        <f t="shared" si="1"/>
        <v>96.00559489</v>
      </c>
      <c r="H5" s="72">
        <f t="shared" si="2"/>
        <v>34.9</v>
      </c>
      <c r="I5" s="72">
        <f t="shared" si="3"/>
        <v>23.90543986</v>
      </c>
      <c r="J5" s="72">
        <f t="shared" si="4"/>
        <v>77.7110086</v>
      </c>
      <c r="K5" s="72">
        <f t="shared" si="5"/>
        <v>38.5</v>
      </c>
      <c r="L5" s="72">
        <f>IF(LS_Main_Dataset!X5="Committed",100,IF(LS_Main_Dataset!X5="Not Committed",40,IF(LS_Main_Dataset!X5="Not a member",15,IF(LS_Main_Dataset!X5="Not found",10,IF(LS_Main_Dataset!X5="Not Disclosed",0,"")))))</f>
        <v>100</v>
      </c>
      <c r="M5" s="72">
        <f>IF(LS_Main_Dataset!AC5="Yes",100,IF(LS_Main_Dataset!AC5="No",0,""))</f>
        <v>0</v>
      </c>
      <c r="N5" s="72">
        <f t="shared" si="6"/>
        <v>53.00314905</v>
      </c>
      <c r="O5" s="73">
        <f>LS_Main_Dataset!L5</f>
        <v>17.88</v>
      </c>
      <c r="P5" s="73" t="str">
        <f>IF(ISNUMBER(LS_Main_Dataset!AE5),100,IF(LS_Main_Dataset!AE5="Not Disclosed",0,""))</f>
        <v/>
      </c>
      <c r="Q5" s="73">
        <f t="shared" si="7"/>
        <v>17.88</v>
      </c>
      <c r="R5" s="74">
        <f>IF(LS_Main_Dataset!G5="Public Listed",100,IF(LS_Main_Dataset!G5="Private",55,""))</f>
        <v>100</v>
      </c>
      <c r="S5" s="75">
        <f t="array" ref="S5">SUMPRODUCT(--ISNUMBER(SEARCH({"GRI","SASB","TCFD","BRSR","UNGC","Integrated Annual Report","Sustainability Report"},LS_Main_Dataset!N5)))</f>
        <v>5</v>
      </c>
      <c r="T5" s="75">
        <f t="shared" si="8"/>
        <v>92</v>
      </c>
      <c r="U5" s="75" t="str">
        <f>IF(LS_Main_Dataset!Z5="A",100,IF(LS_Main_Dataset!Z5="A-",90,IF(LS_Main_Dataset!Z5="B",75,IF(LS_Main_Dataset!Z5="B-",65,IF(LS_Main_Dataset!Z5="C",50,IF(LS_Main_Dataset!Z5="D",25,IF(LS_Main_Dataset!Z5="Not Disclosed",0,"")))))))</f>
        <v/>
      </c>
      <c r="V5" s="75">
        <f t="shared" si="9"/>
        <v>92</v>
      </c>
      <c r="W5" s="71">
        <f t="shared" si="10"/>
        <v>59.47125962</v>
      </c>
      <c r="X5" s="71" t="str">
        <f t="shared" si="11"/>
        <v>BB</v>
      </c>
      <c r="Y5" s="71">
        <f t="shared" si="12"/>
        <v>83.33333333</v>
      </c>
      <c r="Z5" s="71" t="str">
        <f t="shared" si="13"/>
        <v>High</v>
      </c>
    </row>
    <row r="6">
      <c r="A6" s="59" t="str">
        <f>LS_Main_Dataset!A6</f>
        <v>K.P.R. Mill Limited</v>
      </c>
      <c r="B6" s="71">
        <f>IF(ISNUMBER(LS_Main_Dataset!AN6),LS_Main_Dataset!AN6,"")</f>
        <v>10.66</v>
      </c>
      <c r="C6" s="71">
        <f>IFERROR(IF(ISNUMBER(LS_Main_Dataset!V6),LS_Main_Dataset!V6/LS_Main_Dataset!H6,""),"")</f>
        <v>88.68040002</v>
      </c>
      <c r="D6" s="71">
        <f>IFERROR(IF(ISNUMBER(LS_Main_Dataset!AF6),LS_Main_Dataset!AF6/LS_Main_Dataset!H6,""),"")</f>
        <v>0.08801386348</v>
      </c>
      <c r="E6" s="71">
        <f>IF(ISNUMBER(LS_Main_Dataset!S6),LS_Main_Dataset!S6,"")</f>
        <v>24.1</v>
      </c>
      <c r="F6" s="71">
        <f>IF(ISNUMBER(LS_Main_Dataset!AD6),LS_Main_Dataset!AD6,"")</f>
        <v>40</v>
      </c>
      <c r="G6" s="72">
        <f t="shared" si="1"/>
        <v>99.37800168</v>
      </c>
      <c r="H6" s="72">
        <f t="shared" si="2"/>
        <v>24.1</v>
      </c>
      <c r="I6" s="72">
        <f t="shared" si="3"/>
        <v>92.86930523</v>
      </c>
      <c r="J6" s="72">
        <f t="shared" si="4"/>
        <v>99.93626826</v>
      </c>
      <c r="K6" s="72">
        <f t="shared" si="5"/>
        <v>40</v>
      </c>
      <c r="L6" s="72">
        <f>IF(LS_Main_Dataset!X6="Committed",100,IF(LS_Main_Dataset!X6="Not Committed",40,IF(LS_Main_Dataset!X6="Not a member",15,IF(LS_Main_Dataset!X6="Not found",10,IF(LS_Main_Dataset!X6="Not Disclosed",0,"")))))</f>
        <v>40</v>
      </c>
      <c r="M6" s="72">
        <f>IF(LS_Main_Dataset!AC6="Yes",100,IF(LS_Main_Dataset!AC6="No",0,""))</f>
        <v>0</v>
      </c>
      <c r="N6" s="72">
        <f t="shared" si="6"/>
        <v>56.61193931</v>
      </c>
      <c r="O6" s="73">
        <f>LS_Main_Dataset!L6</f>
        <v>83.62</v>
      </c>
      <c r="P6" s="73" t="str">
        <f>IF(ISNUMBER(LS_Main_Dataset!AE6),100,IF(LS_Main_Dataset!AE6="Not Disclosed",0,""))</f>
        <v/>
      </c>
      <c r="Q6" s="73">
        <f t="shared" si="7"/>
        <v>83.62</v>
      </c>
      <c r="R6" s="74">
        <f>IF(LS_Main_Dataset!G6="Public Listed",100,IF(LS_Main_Dataset!G6="Private",55,""))</f>
        <v>100</v>
      </c>
      <c r="S6" s="75">
        <f t="array" ref="S6">SUMPRODUCT(--ISNUMBER(SEARCH({"GRI","SASB","TCFD","BRSR","UNGC","Integrated Annual Report","Sustainability Report"},LS_Main_Dataset!N6)))</f>
        <v>1</v>
      </c>
      <c r="T6" s="75">
        <f t="shared" si="8"/>
        <v>30</v>
      </c>
      <c r="U6" s="75" t="str">
        <f>IF(LS_Main_Dataset!Z6="A",100,IF(LS_Main_Dataset!Z6="A-",90,IF(LS_Main_Dataset!Z6="B",75,IF(LS_Main_Dataset!Z6="B-",65,IF(LS_Main_Dataset!Z6="C",50,IF(LS_Main_Dataset!Z6="D",25,IF(LS_Main_Dataset!Z6="Not Disclosed",0,"")))))))</f>
        <v/>
      </c>
      <c r="V6" s="75">
        <f t="shared" si="9"/>
        <v>30</v>
      </c>
      <c r="W6" s="71">
        <f t="shared" si="10"/>
        <v>68.04977572</v>
      </c>
      <c r="X6" s="71" t="str">
        <f t="shared" si="11"/>
        <v>BBB</v>
      </c>
      <c r="Y6" s="71">
        <f t="shared" si="12"/>
        <v>83.33333333</v>
      </c>
      <c r="Z6" s="71" t="str">
        <f t="shared" si="13"/>
        <v>High</v>
      </c>
    </row>
    <row r="7">
      <c r="A7" s="59" t="str">
        <f>LS_Main_Dataset!A7</f>
        <v>Page Industries</v>
      </c>
      <c r="B7" s="71">
        <f>IF(ISNUMBER(LS_Main_Dataset!AN7),LS_Main_Dataset!AN7,"")</f>
        <v>0.63</v>
      </c>
      <c r="C7" s="71">
        <f>IFERROR(IF(ISNUMBER(LS_Main_Dataset!V7),LS_Main_Dataset!V7/LS_Main_Dataset!H7,""),"")</f>
        <v>8.501791074</v>
      </c>
      <c r="D7" s="71">
        <f>IFERROR(IF(ISNUMBER(LS_Main_Dataset!AF7),LS_Main_Dataset!AF7/LS_Main_Dataset!H7,""),"")</f>
        <v>0.300360151</v>
      </c>
      <c r="E7" s="71">
        <f>IF(ISNUMBER(LS_Main_Dataset!S7),LS_Main_Dataset!S7,"")</f>
        <v>33</v>
      </c>
      <c r="F7" s="71">
        <f>IF(ISNUMBER(LS_Main_Dataset!AD7),LS_Main_Dataset!AD7,"")</f>
        <v>82</v>
      </c>
      <c r="G7" s="72">
        <f t="shared" si="1"/>
        <v>99.99876219</v>
      </c>
      <c r="H7" s="72">
        <f t="shared" si="2"/>
        <v>33</v>
      </c>
      <c r="I7" s="72">
        <f t="shared" si="3"/>
        <v>99.88229982</v>
      </c>
      <c r="J7" s="72">
        <f t="shared" si="4"/>
        <v>99.64116564</v>
      </c>
      <c r="K7" s="72">
        <f t="shared" si="5"/>
        <v>82</v>
      </c>
      <c r="L7" s="72">
        <f>IF(LS_Main_Dataset!X7="Committed",100,IF(LS_Main_Dataset!X7="Not Committed",40,IF(LS_Main_Dataset!X7="Not a member",15,IF(LS_Main_Dataset!X7="Not found",10,IF(LS_Main_Dataset!X7="Not Disclosed",0,"")))))</f>
        <v>40</v>
      </c>
      <c r="M7" s="72">
        <f>IF(LS_Main_Dataset!AC7="Yes",100,IF(LS_Main_Dataset!AC7="No",0,""))</f>
        <v>0</v>
      </c>
      <c r="N7" s="72">
        <f t="shared" si="6"/>
        <v>64.93174681</v>
      </c>
      <c r="O7" s="73">
        <f>LS_Main_Dataset!L7</f>
        <v>79.33</v>
      </c>
      <c r="P7" s="73" t="str">
        <f>IF(ISNUMBER(LS_Main_Dataset!AE7),100,IF(LS_Main_Dataset!AE7="Not Disclosed",0,""))</f>
        <v/>
      </c>
      <c r="Q7" s="73">
        <f t="shared" si="7"/>
        <v>79.33</v>
      </c>
      <c r="R7" s="74">
        <f>IF(LS_Main_Dataset!G7="Public Listed",100,IF(LS_Main_Dataset!G7="Private",55,""))</f>
        <v>100</v>
      </c>
      <c r="S7" s="75">
        <f t="array" ref="S7">SUMPRODUCT(--ISNUMBER(SEARCH({"GRI","SASB","TCFD","BRSR","UNGC","Integrated Annual Report","Sustainability Report"},LS_Main_Dataset!N7)))</f>
        <v>4</v>
      </c>
      <c r="T7" s="75">
        <f t="shared" si="8"/>
        <v>80</v>
      </c>
      <c r="U7" s="75" t="str">
        <f>IF(LS_Main_Dataset!Z7="A",100,IF(LS_Main_Dataset!Z7="A-",90,IF(LS_Main_Dataset!Z7="B",75,IF(LS_Main_Dataset!Z7="B-",65,IF(LS_Main_Dataset!Z7="C",50,IF(LS_Main_Dataset!Z7="D",25,IF(LS_Main_Dataset!Z7="Not Disclosed",0,"")))))))</f>
        <v/>
      </c>
      <c r="V7" s="75">
        <f t="shared" si="9"/>
        <v>80</v>
      </c>
      <c r="W7" s="71">
        <f t="shared" si="10"/>
        <v>77.80519872</v>
      </c>
      <c r="X7" s="71" t="str">
        <f t="shared" si="11"/>
        <v>A</v>
      </c>
      <c r="Y7" s="71">
        <f t="shared" si="12"/>
        <v>83.33333333</v>
      </c>
      <c r="Z7" s="71" t="str">
        <f t="shared" si="13"/>
        <v>High</v>
      </c>
    </row>
    <row r="8">
      <c r="A8" s="59" t="str">
        <f>LS_Main_Dataset!A8</f>
        <v>Indo Count</v>
      </c>
      <c r="B8" s="71">
        <f>IF(ISNUMBER(LS_Main_Dataset!AN8),LS_Main_Dataset!AN8,"")</f>
        <v>39.02</v>
      </c>
      <c r="C8" s="71" t="str">
        <f>IFERROR(IF(ISNUMBER(LS_Main_Dataset!V8),LS_Main_Dataset!V8/LS_Main_Dataset!H8,""),"")</f>
        <v/>
      </c>
      <c r="D8" s="71" t="str">
        <f>IFERROR(IF(ISNUMBER(LS_Main_Dataset!AF8),LS_Main_Dataset!AF8/LS_Main_Dataset!H8,""),"")</f>
        <v/>
      </c>
      <c r="E8" s="71" t="str">
        <f>IF(ISNUMBER(LS_Main_Dataset!S8),LS_Main_Dataset!S8,"")</f>
        <v/>
      </c>
      <c r="F8" s="71">
        <f>IF(ISNUMBER(LS_Main_Dataset!AD8),LS_Main_Dataset!AD8,"")</f>
        <v>22</v>
      </c>
      <c r="G8" s="72">
        <f t="shared" si="1"/>
        <v>97.62279051</v>
      </c>
      <c r="H8" s="72" t="str">
        <f t="shared" si="2"/>
        <v/>
      </c>
      <c r="I8" s="72" t="str">
        <f t="shared" si="3"/>
        <v/>
      </c>
      <c r="J8" s="72" t="str">
        <f t="shared" si="4"/>
        <v/>
      </c>
      <c r="K8" s="72">
        <f t="shared" si="5"/>
        <v>22</v>
      </c>
      <c r="L8" s="72">
        <f>IF(LS_Main_Dataset!X8="Committed",100,IF(LS_Main_Dataset!X8="Not Committed",40,IF(LS_Main_Dataset!X8="Not a member",15,IF(LS_Main_Dataset!X8="Not found",10,IF(LS_Main_Dataset!X8="Not Disclosed",0,"")))))</f>
        <v>100</v>
      </c>
      <c r="M8" s="72">
        <f>IF(LS_Main_Dataset!AC8="Yes",100,IF(LS_Main_Dataset!AC8="No",0,""))</f>
        <v>0</v>
      </c>
      <c r="N8" s="72">
        <f t="shared" si="6"/>
        <v>54.90569763</v>
      </c>
      <c r="O8" s="73">
        <f>LS_Main_Dataset!L8</f>
        <v>15.02</v>
      </c>
      <c r="P8" s="73">
        <f>IF(ISNUMBER(LS_Main_Dataset!AE8),100,IF(LS_Main_Dataset!AE8="Not Disclosed",0,""))</f>
        <v>100</v>
      </c>
      <c r="Q8" s="73">
        <f t="shared" si="7"/>
        <v>57.51</v>
      </c>
      <c r="R8" s="74">
        <f>IF(LS_Main_Dataset!G8="Public Listed",100,IF(LS_Main_Dataset!G8="Private",55,""))</f>
        <v>100</v>
      </c>
      <c r="S8" s="75">
        <f t="array" ref="S8">SUMPRODUCT(--ISNUMBER(SEARCH({"GRI","SASB","TCFD","BRSR","UNGC","Integrated Annual Report","Sustainability Report"},LS_Main_Dataset!N8)))</f>
        <v>3</v>
      </c>
      <c r="T8" s="75">
        <f t="shared" si="8"/>
        <v>65</v>
      </c>
      <c r="U8" s="75">
        <f>IF(LS_Main_Dataset!Z8="A",100,IF(LS_Main_Dataset!Z8="A-",90,IF(LS_Main_Dataset!Z8="B",75,IF(LS_Main_Dataset!Z8="B-",65,IF(LS_Main_Dataset!Z8="C",50,IF(LS_Main_Dataset!Z8="D",25,IF(LS_Main_Dataset!Z8="Not Disclosed",0,"")))))))</f>
        <v>75</v>
      </c>
      <c r="V8" s="75">
        <f t="shared" si="9"/>
        <v>70</v>
      </c>
      <c r="W8" s="71">
        <f t="shared" si="10"/>
        <v>66.83977905</v>
      </c>
      <c r="X8" s="71" t="str">
        <f t="shared" si="11"/>
        <v>BBB</v>
      </c>
      <c r="Y8" s="71">
        <f t="shared" si="12"/>
        <v>75</v>
      </c>
      <c r="Z8" s="71" t="str">
        <f t="shared" si="13"/>
        <v>Medium</v>
      </c>
    </row>
    <row r="9">
      <c r="A9" s="59" t="str">
        <f>LS_Main_Dataset!A9</f>
        <v>Pearl Global</v>
      </c>
      <c r="B9" s="71">
        <f>IF(ISNUMBER(LS_Main_Dataset!AN9),LS_Main_Dataset!AN9,"")</f>
        <v>0.66</v>
      </c>
      <c r="C9" s="71">
        <f>IFERROR(IF(ISNUMBER(LS_Main_Dataset!V9),LS_Main_Dataset!V9/LS_Main_Dataset!H9,""),"")</f>
        <v>12.16292495</v>
      </c>
      <c r="D9" s="71">
        <f>IFERROR(IF(ISNUMBER(LS_Main_Dataset!AF9),LS_Main_Dataset!AF9/LS_Main_Dataset!H9,""),"")</f>
        <v>0.1608622744</v>
      </c>
      <c r="E9" s="71" t="str">
        <f>IF(ISNUMBER(LS_Main_Dataset!S9),LS_Main_Dataset!S9,"")</f>
        <v/>
      </c>
      <c r="F9" s="71">
        <f>IF(ISNUMBER(LS_Main_Dataset!AD9),LS_Main_Dataset!AD9,"")</f>
        <v>24</v>
      </c>
      <c r="G9" s="72">
        <f t="shared" si="1"/>
        <v>99.99690548</v>
      </c>
      <c r="H9" s="72" t="str">
        <f t="shared" si="2"/>
        <v/>
      </c>
      <c r="I9" s="72">
        <f t="shared" si="3"/>
        <v>99.56207086</v>
      </c>
      <c r="J9" s="72">
        <f t="shared" si="4"/>
        <v>99.83502911</v>
      </c>
      <c r="K9" s="72">
        <f t="shared" si="5"/>
        <v>24</v>
      </c>
      <c r="L9" s="72">
        <f>IF(LS_Main_Dataset!X9="Committed",100,IF(LS_Main_Dataset!X9="Not Committed",40,IF(LS_Main_Dataset!X9="Not a member",15,IF(LS_Main_Dataset!X9="Not found",10,IF(LS_Main_Dataset!X9="Not Disclosed",0,"")))))</f>
        <v>15</v>
      </c>
      <c r="M9" s="72">
        <f>IF(LS_Main_Dataset!AC9="Yes",100,IF(LS_Main_Dataset!AC9="No",0,""))</f>
        <v>0</v>
      </c>
      <c r="N9" s="72">
        <f t="shared" si="6"/>
        <v>56.39900091</v>
      </c>
      <c r="O9" s="73">
        <f>LS_Main_Dataset!L9</f>
        <v>53.83</v>
      </c>
      <c r="P9" s="73" t="str">
        <f>IF(ISNUMBER(LS_Main_Dataset!AE9),100,IF(LS_Main_Dataset!AE9="Not Disclosed",0,""))</f>
        <v/>
      </c>
      <c r="Q9" s="73">
        <f t="shared" si="7"/>
        <v>53.83</v>
      </c>
      <c r="R9" s="74">
        <f>IF(LS_Main_Dataset!G9="Public Listed",100,IF(LS_Main_Dataset!G9="Private",55,""))</f>
        <v>100</v>
      </c>
      <c r="S9" s="75">
        <f t="array" ref="S9">SUMPRODUCT(--ISNUMBER(SEARCH({"GRI","SASB","TCFD","BRSR","UNGC","Integrated Annual Report","Sustainability Report"},LS_Main_Dataset!N9)))</f>
        <v>1</v>
      </c>
      <c r="T9" s="75">
        <f t="shared" si="8"/>
        <v>30</v>
      </c>
      <c r="U9" s="75" t="str">
        <f>IF(LS_Main_Dataset!Z9="A",100,IF(LS_Main_Dataset!Z9="A-",90,IF(LS_Main_Dataset!Z9="B",75,IF(LS_Main_Dataset!Z9="B-",65,IF(LS_Main_Dataset!Z9="C",50,IF(LS_Main_Dataset!Z9="D",25,IF(LS_Main_Dataset!Z9="Not Disclosed",0,"")))))))</f>
        <v/>
      </c>
      <c r="V9" s="75">
        <f t="shared" si="9"/>
        <v>30</v>
      </c>
      <c r="W9" s="71">
        <f t="shared" si="10"/>
        <v>60.51710036</v>
      </c>
      <c r="X9" s="71" t="str">
        <f t="shared" si="11"/>
        <v>BBB</v>
      </c>
      <c r="Y9" s="71">
        <f t="shared" si="12"/>
        <v>75</v>
      </c>
      <c r="Z9" s="71" t="str">
        <f t="shared" si="13"/>
        <v>Medium</v>
      </c>
    </row>
    <row r="10">
      <c r="A10" s="59" t="str">
        <f>LS_Main_Dataset!A10</f>
        <v>Welspun Living</v>
      </c>
      <c r="B10" s="71">
        <f>IF(ISNUMBER(LS_Main_Dataset!AN10),LS_Main_Dataset!AN10,"")</f>
        <v>26.05</v>
      </c>
      <c r="C10" s="71">
        <f>IFERROR(IF(ISNUMBER(LS_Main_Dataset!V10),LS_Main_Dataset!V10/LS_Main_Dataset!H10,""),"")</f>
        <v>181.7154298</v>
      </c>
      <c r="D10" s="71">
        <f>IFERROR(IF(ISNUMBER(LS_Main_Dataset!AF10),LS_Main_Dataset!AF10/LS_Main_Dataset!H10,""),"")</f>
        <v>1.13701793</v>
      </c>
      <c r="E10" s="71">
        <f>IF(ISNUMBER(LS_Main_Dataset!S10),LS_Main_Dataset!S10,"")</f>
        <v>30.54</v>
      </c>
      <c r="F10" s="71">
        <f>IF(ISNUMBER(LS_Main_Dataset!AD10),LS_Main_Dataset!AD10,"")</f>
        <v>76</v>
      </c>
      <c r="G10" s="72">
        <f t="shared" si="1"/>
        <v>98.42550874</v>
      </c>
      <c r="H10" s="72">
        <f t="shared" si="2"/>
        <v>30.54</v>
      </c>
      <c r="I10" s="72">
        <f t="shared" si="3"/>
        <v>84.73179612</v>
      </c>
      <c r="J10" s="72">
        <f t="shared" si="4"/>
        <v>98.47844266</v>
      </c>
      <c r="K10" s="72">
        <f t="shared" si="5"/>
        <v>76</v>
      </c>
      <c r="L10" s="72">
        <f>IF(LS_Main_Dataset!X10="Committed",100,IF(LS_Main_Dataset!X10="Not Committed",40,IF(LS_Main_Dataset!X10="Not a member",15,IF(LS_Main_Dataset!X10="Not found",10,IF(LS_Main_Dataset!X10="Not Disclosed",0,"")))))</f>
        <v>100</v>
      </c>
      <c r="M10" s="72">
        <f>IF(LS_Main_Dataset!AC10="Yes",100,IF(LS_Main_Dataset!AC10="No",0,""))</f>
        <v>0</v>
      </c>
      <c r="N10" s="72">
        <f t="shared" si="6"/>
        <v>69.7393925</v>
      </c>
      <c r="O10" s="73">
        <f>LS_Main_Dataset!L10</f>
        <v>27.39</v>
      </c>
      <c r="P10" s="73">
        <f>IF(ISNUMBER(LS_Main_Dataset!AE10),100,IF(LS_Main_Dataset!AE10="Not Disclosed",0,""))</f>
        <v>100</v>
      </c>
      <c r="Q10" s="73">
        <f t="shared" si="7"/>
        <v>63.695</v>
      </c>
      <c r="R10" s="74">
        <f>IF(LS_Main_Dataset!G10="Public Listed",100,IF(LS_Main_Dataset!G10="Private",55,""))</f>
        <v>100</v>
      </c>
      <c r="S10" s="75">
        <f t="array" ref="S10">SUMPRODUCT(--ISNUMBER(SEARCH({"GRI","SASB","TCFD","BRSR","UNGC","Integrated Annual Report","Sustainability Report"},LS_Main_Dataset!N10)))</f>
        <v>5</v>
      </c>
      <c r="T10" s="75">
        <f t="shared" si="8"/>
        <v>92</v>
      </c>
      <c r="U10" s="75">
        <f>IF(LS_Main_Dataset!Z10="A",100,IF(LS_Main_Dataset!Z10="A-",90,IF(LS_Main_Dataset!Z10="B",75,IF(LS_Main_Dataset!Z10="B-",65,IF(LS_Main_Dataset!Z10="C",50,IF(LS_Main_Dataset!Z10="D",25,IF(LS_Main_Dataset!Z10="Not Disclosed",0,"")))))))</f>
        <v>75</v>
      </c>
      <c r="V10" s="75">
        <f t="shared" si="9"/>
        <v>83.5</v>
      </c>
      <c r="W10" s="71">
        <f t="shared" si="10"/>
        <v>76.344507</v>
      </c>
      <c r="X10" s="71" t="str">
        <f t="shared" si="11"/>
        <v>A</v>
      </c>
      <c r="Y10" s="71">
        <f t="shared" si="12"/>
        <v>100</v>
      </c>
      <c r="Z10" s="71" t="str">
        <f t="shared" si="13"/>
        <v>High</v>
      </c>
    </row>
    <row r="11">
      <c r="A11" s="59" t="str">
        <f>LS_Main_Dataset!A11</f>
        <v>Siyaram's Silk Mills</v>
      </c>
      <c r="B11" s="71">
        <f>IF(ISNUMBER(LS_Main_Dataset!AN11),LS_Main_Dataset!AN11,"")</f>
        <v>21.89</v>
      </c>
      <c r="C11" s="71">
        <f>IFERROR(IF(ISNUMBER(LS_Main_Dataset!V11),LS_Main_Dataset!V11/LS_Main_Dataset!H11,""),"")</f>
        <v>72.60346088</v>
      </c>
      <c r="D11" s="71">
        <f>IFERROR(IF(ISNUMBER(LS_Main_Dataset!AF11),LS_Main_Dataset!AF11/LS_Main_Dataset!H11,""),"")</f>
        <v>1.34233244</v>
      </c>
      <c r="E11" s="71">
        <f>IF(ISNUMBER(LS_Main_Dataset!S11),LS_Main_Dataset!S11,"")</f>
        <v>1.66</v>
      </c>
      <c r="F11" s="71">
        <f>IF(ISNUMBER(LS_Main_Dataset!AD11),LS_Main_Dataset!AD11,"")</f>
        <v>41.45</v>
      </c>
      <c r="G11" s="72">
        <f t="shared" si="1"/>
        <v>98.68297272</v>
      </c>
      <c r="H11" s="72">
        <f t="shared" si="2"/>
        <v>1.66</v>
      </c>
      <c r="I11" s="72">
        <f t="shared" si="3"/>
        <v>94.27550931</v>
      </c>
      <c r="J11" s="72">
        <f t="shared" si="4"/>
        <v>98.19311226</v>
      </c>
      <c r="K11" s="72">
        <f t="shared" si="5"/>
        <v>41.45</v>
      </c>
      <c r="L11" s="72">
        <f>IF(LS_Main_Dataset!X11="Committed",100,IF(LS_Main_Dataset!X11="Not Committed",40,IF(LS_Main_Dataset!X11="Not a member",15,IF(LS_Main_Dataset!X11="Not found",10,IF(LS_Main_Dataset!X11="Not Disclosed",0,"")))))</f>
        <v>40</v>
      </c>
      <c r="M11" s="72">
        <f>IF(LS_Main_Dataset!AC11="Yes",100,IF(LS_Main_Dataset!AC11="No",0,""))</f>
        <v>0</v>
      </c>
      <c r="N11" s="72">
        <f t="shared" si="6"/>
        <v>53.46594204</v>
      </c>
      <c r="O11" s="73">
        <f>LS_Main_Dataset!L11</f>
        <v>18.62</v>
      </c>
      <c r="P11" s="73" t="str">
        <f>IF(ISNUMBER(LS_Main_Dataset!AE11),100,IF(LS_Main_Dataset!AE11="Not Disclosed",0,""))</f>
        <v/>
      </c>
      <c r="Q11" s="73">
        <f t="shared" si="7"/>
        <v>18.62</v>
      </c>
      <c r="R11" s="74">
        <f>IF(LS_Main_Dataset!G11="Public Listed",100,IF(LS_Main_Dataset!G11="Private",55,""))</f>
        <v>100</v>
      </c>
      <c r="S11" s="75">
        <f t="array" ref="S11">SUMPRODUCT(--ISNUMBER(SEARCH({"GRI","SASB","TCFD","BRSR","UNGC","Integrated Annual Report","Sustainability Report"},LS_Main_Dataset!N11)))</f>
        <v>1</v>
      </c>
      <c r="T11" s="75">
        <f t="shared" si="8"/>
        <v>30</v>
      </c>
      <c r="U11" s="75" t="str">
        <f>IF(LS_Main_Dataset!Z11="A",100,IF(LS_Main_Dataset!Z11="A-",90,IF(LS_Main_Dataset!Z11="B",75,IF(LS_Main_Dataset!Z11="B-",65,IF(LS_Main_Dataset!Z11="C",50,IF(LS_Main_Dataset!Z11="D",25,IF(LS_Main_Dataset!Z11="Not Disclosed",0,"")))))))</f>
        <v/>
      </c>
      <c r="V11" s="75">
        <f t="shared" si="9"/>
        <v>30</v>
      </c>
      <c r="W11" s="71">
        <f t="shared" si="10"/>
        <v>50.54137682</v>
      </c>
      <c r="X11" s="71" t="str">
        <f t="shared" si="11"/>
        <v>BB</v>
      </c>
      <c r="Y11" s="71">
        <f t="shared" si="12"/>
        <v>83.33333333</v>
      </c>
      <c r="Z11" s="71" t="str">
        <f t="shared" si="13"/>
        <v>High</v>
      </c>
    </row>
    <row r="12">
      <c r="A12" s="59" t="str">
        <f>LS_Main_Dataset!A12</f>
        <v>Jindal Worldwide</v>
      </c>
      <c r="B12" s="71">
        <f>IF(ISNUMBER(LS_Main_Dataset!AN12),LS_Main_Dataset!AN12,"")</f>
        <v>104.95</v>
      </c>
      <c r="C12" s="71">
        <f>IFERROR(IF(ISNUMBER(LS_Main_Dataset!V12),LS_Main_Dataset!V12/LS_Main_Dataset!H12,""),"")</f>
        <v>70.21033994</v>
      </c>
      <c r="D12" s="71">
        <f>IFERROR(IF(ISNUMBER(LS_Main_Dataset!AF12),LS_Main_Dataset!AF12/LS_Main_Dataset!H12,""),"")</f>
        <v>0.147174221</v>
      </c>
      <c r="E12" s="71">
        <f>IF(ISNUMBER(LS_Main_Dataset!S12),LS_Main_Dataset!S12,"")</f>
        <v>0.71</v>
      </c>
      <c r="F12" s="71">
        <f>IF(ISNUMBER(LS_Main_Dataset!AD12),LS_Main_Dataset!AD12,"")</f>
        <v>0</v>
      </c>
      <c r="G12" s="72">
        <f t="shared" si="1"/>
        <v>93.54235778</v>
      </c>
      <c r="H12" s="72">
        <f t="shared" si="2"/>
        <v>0.71</v>
      </c>
      <c r="I12" s="72">
        <f t="shared" si="3"/>
        <v>94.48482878</v>
      </c>
      <c r="J12" s="72">
        <f t="shared" si="4"/>
        <v>99.85405172</v>
      </c>
      <c r="K12" s="72">
        <f t="shared" si="5"/>
        <v>0</v>
      </c>
      <c r="L12" s="72">
        <f>IF(LS_Main_Dataset!X12="Committed",100,IF(LS_Main_Dataset!X12="Not Committed",40,IF(LS_Main_Dataset!X12="Not a member",15,IF(LS_Main_Dataset!X12="Not found",10,IF(LS_Main_Dataset!X12="Not Disclosed",0,"")))))</f>
        <v>40</v>
      </c>
      <c r="M12" s="72">
        <f>IF(LS_Main_Dataset!AC12="Yes",100,IF(LS_Main_Dataset!AC12="No",0,""))</f>
        <v>0</v>
      </c>
      <c r="N12" s="72">
        <f t="shared" si="6"/>
        <v>46.94160547</v>
      </c>
      <c r="O12" s="73">
        <f>LS_Main_Dataset!L12</f>
        <v>1.35</v>
      </c>
      <c r="P12" s="73" t="str">
        <f>IF(ISNUMBER(LS_Main_Dataset!AE12),100,IF(LS_Main_Dataset!AE12="Not Disclosed",0,""))</f>
        <v/>
      </c>
      <c r="Q12" s="73">
        <f t="shared" si="7"/>
        <v>1.35</v>
      </c>
      <c r="R12" s="74">
        <f>IF(LS_Main_Dataset!G12="Public Listed",100,IF(LS_Main_Dataset!G12="Private",55,""))</f>
        <v>100</v>
      </c>
      <c r="S12" s="75">
        <f t="array" ref="S12">SUMPRODUCT(--ISNUMBER(SEARCH({"GRI","SASB","TCFD","BRSR","UNGC","Integrated Annual Report","Sustainability Report"},LS_Main_Dataset!N12)))</f>
        <v>1</v>
      </c>
      <c r="T12" s="75">
        <f t="shared" si="8"/>
        <v>30</v>
      </c>
      <c r="U12" s="75">
        <f>IF(LS_Main_Dataset!Z12="A",100,IF(LS_Main_Dataset!Z12="A-",90,IF(LS_Main_Dataset!Z12="B",75,IF(LS_Main_Dataset!Z12="B-",65,IF(LS_Main_Dataset!Z12="C",50,IF(LS_Main_Dataset!Z12="D",25,IF(LS_Main_Dataset!Z12="Not Disclosed",0,"")))))))</f>
        <v>0</v>
      </c>
      <c r="V12" s="75">
        <f t="shared" si="9"/>
        <v>15</v>
      </c>
      <c r="W12" s="71">
        <f t="shared" si="10"/>
        <v>41.36414219</v>
      </c>
      <c r="X12" s="71" t="str">
        <f t="shared" si="11"/>
        <v>B</v>
      </c>
      <c r="Y12" s="71">
        <f t="shared" si="12"/>
        <v>91.66666667</v>
      </c>
      <c r="Z12" s="71" t="str">
        <f t="shared" si="13"/>
        <v>High</v>
      </c>
    </row>
    <row r="13">
      <c r="A13" s="59" t="str">
        <f>LS_Main_Dataset!A13</f>
        <v>Grasim Industries</v>
      </c>
      <c r="B13" s="71">
        <f>IF(ISNUMBER(LS_Main_Dataset!AN13),LS_Main_Dataset!AN13,"")</f>
        <v>1616.37</v>
      </c>
      <c r="C13" s="71">
        <f>IFERROR(IF(ISNUMBER(LS_Main_Dataset!V13),LS_Main_Dataset!V13/LS_Main_Dataset!H13,""),"")</f>
        <v>1150.442478</v>
      </c>
      <c r="D13" s="71">
        <f>IFERROR(IF(ISNUMBER(LS_Main_Dataset!AF13),LS_Main_Dataset!AF13/LS_Main_Dataset!H13,""),"")</f>
        <v>71.99891416</v>
      </c>
      <c r="E13" s="71">
        <f>IF(ISNUMBER(LS_Main_Dataset!S13),LS_Main_Dataset!S13,"")</f>
        <v>6.5</v>
      </c>
      <c r="F13" s="71">
        <f>IF(ISNUMBER(LS_Main_Dataset!AD13),LS_Main_Dataset!AD13,"")</f>
        <v>62</v>
      </c>
      <c r="G13" s="72">
        <f t="shared" si="1"/>
        <v>0</v>
      </c>
      <c r="H13" s="72">
        <f t="shared" si="2"/>
        <v>6.5</v>
      </c>
      <c r="I13" s="72">
        <f t="shared" si="3"/>
        <v>0</v>
      </c>
      <c r="J13" s="72">
        <f t="shared" si="4"/>
        <v>0</v>
      </c>
      <c r="K13" s="72">
        <f t="shared" si="5"/>
        <v>62</v>
      </c>
      <c r="L13" s="72">
        <f>IF(LS_Main_Dataset!X13="Committed",100,IF(LS_Main_Dataset!X13="Not Committed",40,IF(LS_Main_Dataset!X13="Not a member",15,IF(LS_Main_Dataset!X13="Not found",10,IF(LS_Main_Dataset!X13="Not Disclosed",0,"")))))</f>
        <v>40</v>
      </c>
      <c r="M13" s="72">
        <f>IF(LS_Main_Dataset!AC13="Yes",100,IF(LS_Main_Dataset!AC13="No",0,""))</f>
        <v>0</v>
      </c>
      <c r="N13" s="72">
        <f t="shared" si="6"/>
        <v>15.5</v>
      </c>
      <c r="O13" s="73">
        <f>LS_Main_Dataset!L13</f>
        <v>4.8</v>
      </c>
      <c r="P13" s="73" t="str">
        <f>IF(ISNUMBER(LS_Main_Dataset!AE13),100,IF(LS_Main_Dataset!AE13="Not Disclosed",0,""))</f>
        <v/>
      </c>
      <c r="Q13" s="73">
        <f t="shared" si="7"/>
        <v>4.8</v>
      </c>
      <c r="R13" s="74">
        <f>IF(LS_Main_Dataset!G13="Public Listed",100,IF(LS_Main_Dataset!G13="Private",55,""))</f>
        <v>100</v>
      </c>
      <c r="S13" s="75">
        <f t="array" ref="S13">SUMPRODUCT(--ISNUMBER(SEARCH({"GRI","SASB","TCFD","BRSR","UNGC","Integrated Annual Report","Sustainability Report"},LS_Main_Dataset!N13)))</f>
        <v>6</v>
      </c>
      <c r="T13" s="75">
        <f t="shared" si="8"/>
        <v>100</v>
      </c>
      <c r="U13" s="75">
        <f>IF(LS_Main_Dataset!Z13="A",100,IF(LS_Main_Dataset!Z13="A-",90,IF(LS_Main_Dataset!Z13="B",75,IF(LS_Main_Dataset!Z13="B-",65,IF(LS_Main_Dataset!Z13="C",50,IF(LS_Main_Dataset!Z13="D",25,IF(LS_Main_Dataset!Z13="Not Disclosed",0,"")))))))</f>
        <v>0</v>
      </c>
      <c r="V13" s="75">
        <f t="shared" si="9"/>
        <v>50</v>
      </c>
      <c r="W13" s="71">
        <f t="shared" si="10"/>
        <v>34.9</v>
      </c>
      <c r="X13" s="71" t="str">
        <f t="shared" si="11"/>
        <v>CCC</v>
      </c>
      <c r="Y13" s="71">
        <f t="shared" si="12"/>
        <v>91.66666667</v>
      </c>
      <c r="Z13" s="71" t="str">
        <f t="shared" si="13"/>
        <v>High</v>
      </c>
    </row>
    <row r="14">
      <c r="A14" s="59" t="str">
        <f>LS_Main_Dataset!A14</f>
        <v>RSWM Limited</v>
      </c>
      <c r="B14" s="71" t="str">
        <f>IF(ISNUMBER(LS_Main_Dataset!AN14),LS_Main_Dataset!AN14,"")</f>
        <v/>
      </c>
      <c r="C14" s="71" t="str">
        <f>IFERROR(IF(ISNUMBER(LS_Main_Dataset!V14),LS_Main_Dataset!V14/LS_Main_Dataset!H14,""),"")</f>
        <v/>
      </c>
      <c r="D14" s="71">
        <f>IFERROR(IF(ISNUMBER(LS_Main_Dataset!AF14),LS_Main_Dataset!AF14/LS_Main_Dataset!H14,""),"")</f>
        <v>0.448620709</v>
      </c>
      <c r="E14" s="71">
        <f>IF(ISNUMBER(LS_Main_Dataset!S14),LS_Main_Dataset!S14,"")</f>
        <v>33</v>
      </c>
      <c r="F14" s="71">
        <f>IF(ISNUMBER(LS_Main_Dataset!AD14),LS_Main_Dataset!AD14,"")</f>
        <v>56.46</v>
      </c>
      <c r="G14" s="72" t="str">
        <f t="shared" si="1"/>
        <v/>
      </c>
      <c r="H14" s="72">
        <f t="shared" si="2"/>
        <v>33</v>
      </c>
      <c r="I14" s="72" t="str">
        <f t="shared" si="3"/>
        <v/>
      </c>
      <c r="J14" s="72">
        <f t="shared" si="4"/>
        <v>99.43512445</v>
      </c>
      <c r="K14" s="72">
        <f t="shared" si="5"/>
        <v>56.46</v>
      </c>
      <c r="L14" s="72">
        <f>IF(LS_Main_Dataset!X14="Committed",100,IF(LS_Main_Dataset!X14="Not Committed",40,IF(LS_Main_Dataset!X14="Not a member",15,IF(LS_Main_Dataset!X14="Not found",10,IF(LS_Main_Dataset!X14="Not Disclosed",0,"")))))</f>
        <v>0</v>
      </c>
      <c r="M14" s="72">
        <f>IF(LS_Main_Dataset!AC14="Yes",100,IF(LS_Main_Dataset!AC14="No",0,""))</f>
        <v>0</v>
      </c>
      <c r="N14" s="72">
        <f t="shared" si="6"/>
        <v>37.77902489</v>
      </c>
      <c r="O14" s="73">
        <f>LS_Main_Dataset!L14</f>
        <v>15.12</v>
      </c>
      <c r="P14" s="73">
        <f>IF(ISNUMBER(LS_Main_Dataset!AE14),100,IF(LS_Main_Dataset!AE14="Not Disclosed",0,""))</f>
        <v>0</v>
      </c>
      <c r="Q14" s="73">
        <f t="shared" si="7"/>
        <v>7.56</v>
      </c>
      <c r="R14" s="74">
        <f>IF(LS_Main_Dataset!G14="Public Listed",100,IF(LS_Main_Dataset!G14="Private",55,""))</f>
        <v>100</v>
      </c>
      <c r="S14" s="75">
        <f t="array" ref="S14">SUMPRODUCT(--ISNUMBER(SEARCH({"GRI","SASB","TCFD","BRSR","UNGC","Integrated Annual Report","Sustainability Report"},LS_Main_Dataset!N14)))</f>
        <v>2</v>
      </c>
      <c r="T14" s="75">
        <f t="shared" si="8"/>
        <v>50</v>
      </c>
      <c r="U14" s="75">
        <f>IF(LS_Main_Dataset!Z14="A",100,IF(LS_Main_Dataset!Z14="A-",90,IF(LS_Main_Dataset!Z14="B",75,IF(LS_Main_Dataset!Z14="B-",65,IF(LS_Main_Dataset!Z14="C",50,IF(LS_Main_Dataset!Z14="D",25,IF(LS_Main_Dataset!Z14="Not Disclosed",0,"")))))))</f>
        <v>0</v>
      </c>
      <c r="V14" s="75">
        <f t="shared" si="9"/>
        <v>25</v>
      </c>
      <c r="W14" s="71">
        <f t="shared" si="10"/>
        <v>40.75160996</v>
      </c>
      <c r="X14" s="71" t="str">
        <f t="shared" si="11"/>
        <v>B</v>
      </c>
      <c r="Y14" s="71">
        <f t="shared" si="12"/>
        <v>83.33333333</v>
      </c>
      <c r="Z14" s="71" t="str">
        <f t="shared" si="13"/>
        <v>High</v>
      </c>
    </row>
    <row r="15">
      <c r="A15" s="59" t="str">
        <f>LS_Main_Dataset!A15</f>
        <v>Gokaldas Exports Limited</v>
      </c>
      <c r="B15" s="71">
        <f>IF(ISNUMBER(LS_Main_Dataset!AN15),LS_Main_Dataset!AN15,"")</f>
        <v>1.39</v>
      </c>
      <c r="C15" s="71">
        <f>IFERROR(IF(ISNUMBER(LS_Main_Dataset!V15),LS_Main_Dataset!V15/LS_Main_Dataset!H15,""),"")</f>
        <v>11.63102892</v>
      </c>
      <c r="D15" s="71">
        <f>IFERROR(IF(ISNUMBER(LS_Main_Dataset!AF15),LS_Main_Dataset!AF15/LS_Main_Dataset!H15,""),"")</f>
        <v>0.1254064788</v>
      </c>
      <c r="E15" s="71">
        <f>IF(ISNUMBER(LS_Main_Dataset!S15),LS_Main_Dataset!S15,"")</f>
        <v>78.73</v>
      </c>
      <c r="F15" s="71">
        <f>IF(ISNUMBER(LS_Main_Dataset!AD15),LS_Main_Dataset!AD15,"")</f>
        <v>13</v>
      </c>
      <c r="G15" s="72">
        <f t="shared" si="1"/>
        <v>99.9517255</v>
      </c>
      <c r="H15" s="72">
        <f t="shared" si="2"/>
        <v>78.73</v>
      </c>
      <c r="I15" s="72">
        <f t="shared" si="3"/>
        <v>99.60859429</v>
      </c>
      <c r="J15" s="72">
        <f t="shared" si="4"/>
        <v>99.88430287</v>
      </c>
      <c r="K15" s="72">
        <f t="shared" si="5"/>
        <v>13</v>
      </c>
      <c r="L15" s="72">
        <f>IF(LS_Main_Dataset!X15="Committed",100,IF(LS_Main_Dataset!X15="Not Committed",40,IF(LS_Main_Dataset!X15="Not a member",15,IF(LS_Main_Dataset!X15="Not found",10,IF(LS_Main_Dataset!X15="Not Disclosed",0,"")))))</f>
        <v>0</v>
      </c>
      <c r="M15" s="72">
        <f>IF(LS_Main_Dataset!AC15="Yes",100,IF(LS_Main_Dataset!AC15="No",0,""))</f>
        <v>0</v>
      </c>
      <c r="N15" s="72">
        <f t="shared" si="6"/>
        <v>55.88208895</v>
      </c>
      <c r="O15" s="73">
        <f>LS_Main_Dataset!L15</f>
        <v>70.45</v>
      </c>
      <c r="P15" s="73">
        <f>IF(ISNUMBER(LS_Main_Dataset!AE15),100,IF(LS_Main_Dataset!AE15="Not Disclosed",0,""))</f>
        <v>0</v>
      </c>
      <c r="Q15" s="73">
        <f t="shared" si="7"/>
        <v>35.225</v>
      </c>
      <c r="R15" s="74">
        <f>IF(LS_Main_Dataset!G15="Public Listed",100,IF(LS_Main_Dataset!G15="Private",55,""))</f>
        <v>100</v>
      </c>
      <c r="S15" s="75">
        <f t="array" ref="S15">SUMPRODUCT(--ISNUMBER(SEARCH({"GRI","SASB","TCFD","BRSR","UNGC","Integrated Annual Report","Sustainability Report"},LS_Main_Dataset!N15)))</f>
        <v>1</v>
      </c>
      <c r="T15" s="75">
        <f t="shared" si="8"/>
        <v>30</v>
      </c>
      <c r="U15" s="75">
        <f>IF(LS_Main_Dataset!Z15="A",100,IF(LS_Main_Dataset!Z15="A-",90,IF(LS_Main_Dataset!Z15="B",75,IF(LS_Main_Dataset!Z15="B-",65,IF(LS_Main_Dataset!Z15="C",50,IF(LS_Main_Dataset!Z15="D",25,IF(LS_Main_Dataset!Z15="Not Disclosed",0,"")))))))</f>
        <v>0</v>
      </c>
      <c r="V15" s="75">
        <f t="shared" si="9"/>
        <v>15</v>
      </c>
      <c r="W15" s="71">
        <f t="shared" si="10"/>
        <v>53.40908558</v>
      </c>
      <c r="X15" s="71" t="str">
        <f t="shared" si="11"/>
        <v>BB</v>
      </c>
      <c r="Y15" s="71">
        <f t="shared" si="12"/>
        <v>100</v>
      </c>
      <c r="Z15" s="71" t="str">
        <f t="shared" si="13"/>
        <v>High</v>
      </c>
    </row>
    <row r="16">
      <c r="A16" s="59" t="str">
        <f>LS_Main_Dataset!A16</f>
        <v>Vamani Overseas Pvt. Ltd.</v>
      </c>
      <c r="B16" s="71">
        <f>IF(ISNUMBER(LS_Main_Dataset!AN16),LS_Main_Dataset!AN16,"")</f>
        <v>0.61</v>
      </c>
      <c r="C16" s="71">
        <f>IFERROR(IF(ISNUMBER(LS_Main_Dataset!V16),LS_Main_Dataset!V16/LS_Main_Dataset!H16,""),"")</f>
        <v>7.156140963</v>
      </c>
      <c r="D16" s="71">
        <f>IFERROR(IF(ISNUMBER(LS_Main_Dataset!AF16),LS_Main_Dataset!AF16/LS_Main_Dataset!H16,""),"")</f>
        <v>0.04215457083</v>
      </c>
      <c r="E16" s="71">
        <f>IF(ISNUMBER(LS_Main_Dataset!S16),LS_Main_Dataset!S16,"")</f>
        <v>5.1</v>
      </c>
      <c r="F16" s="71" t="str">
        <f>IF(ISNUMBER(LS_Main_Dataset!AD16),LS_Main_Dataset!AD16,"")</f>
        <v/>
      </c>
      <c r="G16" s="72">
        <f t="shared" si="1"/>
        <v>100</v>
      </c>
      <c r="H16" s="72">
        <f t="shared" si="2"/>
        <v>5.1</v>
      </c>
      <c r="I16" s="72">
        <f t="shared" si="3"/>
        <v>100</v>
      </c>
      <c r="J16" s="72">
        <f t="shared" si="4"/>
        <v>100</v>
      </c>
      <c r="K16" s="72" t="str">
        <f t="shared" si="5"/>
        <v/>
      </c>
      <c r="L16" s="72">
        <f>IF(LS_Main_Dataset!X16="Committed",100,IF(LS_Main_Dataset!X16="Not Committed",40,IF(LS_Main_Dataset!X16="Not a member",15,IF(LS_Main_Dataset!X16="Not found",10,IF(LS_Main_Dataset!X16="Not Disclosed",0,"")))))</f>
        <v>0</v>
      </c>
      <c r="M16" s="72">
        <f>IF(LS_Main_Dataset!AC16="Yes",100,IF(LS_Main_Dataset!AC16="No",0,""))</f>
        <v>0</v>
      </c>
      <c r="N16" s="72">
        <f t="shared" si="6"/>
        <v>50.85</v>
      </c>
      <c r="O16" s="73">
        <f>LS_Main_Dataset!L16</f>
        <v>48.72</v>
      </c>
      <c r="P16" s="73" t="str">
        <f>IF(ISNUMBER(LS_Main_Dataset!AE16),100,IF(LS_Main_Dataset!AE16="Not Disclosed",0,""))</f>
        <v/>
      </c>
      <c r="Q16" s="73">
        <f t="shared" si="7"/>
        <v>48.72</v>
      </c>
      <c r="R16" s="74">
        <f>IF(LS_Main_Dataset!G16="Public Listed",100,IF(LS_Main_Dataset!G16="Private",55,""))</f>
        <v>55</v>
      </c>
      <c r="S16" s="75">
        <f t="array" ref="S16">SUMPRODUCT(--ISNUMBER(SEARCH({"GRI","SASB","TCFD","BRSR","UNGC","Integrated Annual Report","Sustainability Report"},LS_Main_Dataset!N16)))</f>
        <v>1</v>
      </c>
      <c r="T16" s="75">
        <f t="shared" si="8"/>
        <v>30</v>
      </c>
      <c r="U16" s="75">
        <f>IF(LS_Main_Dataset!Z16="A",100,IF(LS_Main_Dataset!Z16="A-",90,IF(LS_Main_Dataset!Z16="B",75,IF(LS_Main_Dataset!Z16="B-",65,IF(LS_Main_Dataset!Z16="C",50,IF(LS_Main_Dataset!Z16="D",25,IF(LS_Main_Dataset!Z16="Not Disclosed",0,"")))))))</f>
        <v>50</v>
      </c>
      <c r="V16" s="75">
        <f t="shared" si="9"/>
        <v>40</v>
      </c>
      <c r="W16" s="71">
        <f t="shared" si="10"/>
        <v>49.52</v>
      </c>
      <c r="X16" s="71" t="str">
        <f t="shared" si="11"/>
        <v>B</v>
      </c>
      <c r="Y16" s="71">
        <f t="shared" si="12"/>
        <v>83.33333333</v>
      </c>
      <c r="Z16" s="71" t="str">
        <f t="shared" si="13"/>
        <v>High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2026-07-03T10:36:36Z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